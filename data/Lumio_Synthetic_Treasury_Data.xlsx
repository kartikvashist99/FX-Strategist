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10.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emo_Scenario" sheetId="2" state="visible" r:id="rId4"/>
    <sheet name="Value_at_Stake" sheetId="3" state="visible" r:id="rId5"/>
    <sheet name="Monthly_Summary" sheetId="4" state="visible" r:id="rId6"/>
    <sheet name="Detected_Patterns" sheetId="5" state="visible" r:id="rId7"/>
    <sheet name="Client_Behaviour" sheetId="6" state="visible" r:id="rId8"/>
    <sheet name="Receipts" sheetId="7" state="visible" r:id="rId9"/>
    <sheet name="INR_Outflows" sheetId="8" state="visible" r:id="rId10"/>
    <sheet name="USD_Outflows" sheetId="9" state="visible" r:id="rId11"/>
    <sheet name="Conversions" sheetId="10" state="visible" r:id="rId12"/>
    <sheet name="EEFC_Ledger" sheetId="11" state="visible" r:id="rId13"/>
    <sheet name="Daily_Balances" sheetId="12" state="visible" r:id="rId14"/>
    <sheet name="FX_Rates" sheetId="13" state="visible" r:id="rId15"/>
    <sheet name="Clients" sheetId="14" state="visible" r:id="rId16"/>
  </sheets>
  <definedNames>
    <definedName function="false" hidden="true" localSheetId="5" name="_xlnm._FilterDatabase" vbProcedure="false">Client_Behaviour!$A$1:$J$14</definedName>
    <definedName function="false" hidden="true" localSheetId="13" name="_xlnm._FilterDatabase" vbProcedure="false">Clients!$A$1:$H$14</definedName>
    <definedName function="false" hidden="true" localSheetId="9" name="_xlnm._FilterDatabase" vbProcedure="false">Conversions!$A$1:$G$185</definedName>
    <definedName function="false" hidden="true" localSheetId="11" name="_xlnm._FilterDatabase" vbProcedure="false">Daily_Balances!$A$1:$C$726</definedName>
    <definedName function="false" hidden="true" localSheetId="4" name="_xlnm._FilterDatabase" vbProcedure="false">Detected_Patterns!$A$1:$P$9</definedName>
    <definedName function="false" hidden="true" localSheetId="10" name="_xlnm._FilterDatabase" vbProcedure="false">EEFC_Ledger!$A$1:$E$26</definedName>
    <definedName function="false" hidden="true" localSheetId="12" name="_xlnm._FilterDatabase" vbProcedure="false">FX_Rates!$A$1:$B$518</definedName>
    <definedName function="false" hidden="true" localSheetId="7" name="_xlnm._FilterDatabase" vbProcedure="false">INR_Outflows!$A$1:$E$89</definedName>
    <definedName function="false" hidden="true" localSheetId="6" name="_xlnm._FilterDatabase" vbProcedure="false">Receipts!$A$1:$K$225</definedName>
    <definedName function="false" hidden="true" localSheetId="8" name="_xlnm._FilterDatabase" vbProcedure="false">USD_Outflows!$A$1:$J$57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<sst xmlns="http://schemas.openxmlformats.org/spreadsheetml/2006/main" count="2806" uniqueCount="577">
  <si>
    <t xml:space="preserve">Lumio Analytics - Synthetic Treasury Dataset</t>
  </si>
  <si>
    <t xml:space="preserve">Built for the Razorpay AI PM Build Challenge prototype (EEFC conversion-planning agent)</t>
  </si>
  <si>
    <t xml:space="preserve">ALL DATA IN THIS WORKBOOK IS SYNTHETIC. Company, clients, vendors and the USD/INR rate path are fictional; rules and cost assumptions are listed below.</t>
  </si>
  <si>
    <t xml:space="preserve">Assumption</t>
  </si>
  <si>
    <t xml:space="preserve">Value</t>
  </si>
  <si>
    <t xml:space="preserve">Merchant</t>
  </si>
  <si>
    <t xml:space="preserve">Lumio Analytics Pvt Ltd (fictional) - Bengaluru B2B SaaS, bills US clients in USD via Razorpay</t>
  </si>
  <si>
    <t xml:space="preserve">Scenario date (today)</t>
  </si>
  <si>
    <t xml:space="preserve">2026-10-26</t>
  </si>
  <si>
    <t xml:space="preserve">History window</t>
  </si>
  <si>
    <t xml:space="preserve">2024-11-01 to 2026-10-26 (24 months)</t>
  </si>
  <si>
    <t xml:space="preserve">EEFC holding switched on</t>
  </si>
  <si>
    <t xml:space="preserve">2026-09-01 (before this, every USD receipt was converted to INR at settlement)</t>
  </si>
  <si>
    <t xml:space="preserve">Inbound conversion</t>
  </si>
  <si>
    <t xml:space="preserve">Razorpay live mid-market rate, 0% FX markup (per Razorpay's published MoneySaver pricing); platform fee ignored as it is identical in both scenarios</t>
  </si>
  <si>
    <t xml:space="preserve">Outward FX via corporate card (AWS, tools)</t>
  </si>
  <si>
    <t xml:space="preserve">3.0% all-in markup over mid (assumption; Indian business cards typically 2-3.5%)</t>
  </si>
  <si>
    <t xml:space="preserve">Outward FX via bank wire (contractor)</t>
  </si>
  <si>
    <t xml:space="preserve">0.9% markup over mid + Rs 1,200 flat charge per wire (assumption)</t>
  </si>
  <si>
    <t xml:space="preserve">EEFC rule</t>
  </si>
  <si>
    <t xml:space="preserve">Accruals in a calendar month must be converted to INR by the last day of the following month, after USD used for permitted payments (RBI Master Direction - Deposits and Accounts)</t>
  </si>
  <si>
    <t xml:space="preserve">USD/INR</t>
  </si>
  <si>
    <t xml:space="preserve">Synthetic daily mid-rate path (business days), ~84.1 to ~88.4; NOT real market data</t>
  </si>
  <si>
    <t xml:space="preserve">INR safety buffer policy</t>
  </si>
  <si>
    <t xml:space="preserve">Rs 8,00,000 minimum in INR current account (merchant setting)</t>
  </si>
  <si>
    <t xml:space="preserve">Confidence score</t>
  </si>
  <si>
    <t xml:space="preserve">Illustrative heuristic = history depth x timing regularity x amount stability (see Demo_Scenario notes)</t>
  </si>
  <si>
    <t xml:space="preserve">Story in one line</t>
  </si>
  <si>
    <t xml:space="preserve">For 22 months Lumio converted every USD receipt to INR at settlement, then bought USD back to pay AWS, tools and a US contractor. On 1 Sep 2026 it switched on EEFC settlement and now holds USD, but manages conversions by hand (one manual conversion on 29 Sep). On 26 Oct 2026 ('today') it has USD in two EEFC buckets, an INR balance sitting at its buffer, payroll in 7 days and a September deadline in 5.</t>
  </si>
  <si>
    <t xml:space="preserve">Sheet</t>
  </si>
  <si>
    <t xml:space="preserve">What it holds</t>
  </si>
  <si>
    <t xml:space="preserve">Demo_Scenario</t>
  </si>
  <si>
    <t xml:space="preserve">Today's position, the agent's 6 expected outputs (locked / green / amber / red) and the use-case coverage checklist</t>
  </si>
  <si>
    <t xml:space="preserve">Value_at_Stake</t>
  </si>
  <si>
    <t xml:space="preserve">Baseline (convert at settlement) vs netting from EEFC - live formulas</t>
  </si>
  <si>
    <t xml:space="preserve">Monthly_Summary</t>
  </si>
  <si>
    <t xml:space="preserve">24-month roll-up of receipts, conversions, outflows and balances - live formulas over the data sheets</t>
  </si>
  <si>
    <t xml:space="preserve">Detected_Patterns</t>
  </si>
  <si>
    <t xml:space="preserve">Recurring obligations the agent infers from history, with confidence and its components</t>
  </si>
  <si>
    <t xml:space="preserve">Client_Behaviour</t>
  </si>
  <si>
    <t xml:space="preserve">Payment timing per client (on-time, late payer, new client, churned, annual)</t>
  </si>
  <si>
    <t xml:space="preserve">Receipts</t>
  </si>
  <si>
    <t xml:space="preserve">Every USD invoice: issued, due, paid / outstanding / scheduled</t>
  </si>
  <si>
    <t xml:space="preserve">INR_Outflows</t>
  </si>
  <si>
    <t xml:space="preserve">Payroll, rent, GST, advance tax, fees, one-offs, FD sweeps (non-operating)</t>
  </si>
  <si>
    <t xml:space="preserve">USD_Outflows</t>
  </si>
  <si>
    <t xml:space="preserve">AWS, tools, contractor - how each was paid and the avoidable FX cost</t>
  </si>
  <si>
    <t xml:space="preserve">Conversions</t>
  </si>
  <si>
    <t xml:space="preserve">Every USD to INR conversion (auto at settlement, then manual from EEFC)</t>
  </si>
  <si>
    <t xml:space="preserve">EEFC_Ledger</t>
  </si>
  <si>
    <t xml:space="preserve">Credits and debits by monthly bucket since EEFC was switched on</t>
  </si>
  <si>
    <t xml:space="preserve">Daily_Balances</t>
  </si>
  <si>
    <t xml:space="preserve">INR current-account and EEFC USD balance, every day</t>
  </si>
  <si>
    <t xml:space="preserve">FX_Rates</t>
  </si>
  <si>
    <t xml:space="preserve">Synthetic USD/INR mid rate, business days</t>
  </si>
  <si>
    <t xml:space="preserve">Clients</t>
  </si>
  <si>
    <t xml:space="preserve">Client master</t>
  </si>
  <si>
    <t xml:space="preserve">Scenario: Monday 26 Oct 2026</t>
  </si>
  <si>
    <t xml:space="preserve">Agent's expected outputs for the prototype. Confidence = forecast confidence in the cash inputs, not a rate prediction.</t>
  </si>
  <si>
    <t xml:space="preserve">Position today</t>
  </si>
  <si>
    <t xml:space="preserve">Item</t>
  </si>
  <si>
    <t xml:space="preserve">Note</t>
  </si>
  <si>
    <t xml:space="preserve">INR current account (Rs)</t>
  </si>
  <si>
    <t xml:space="preserve">At the Rs 8L buffer policy</t>
  </si>
  <si>
    <t xml:space="preserve">USD/INR today</t>
  </si>
  <si>
    <t xml:space="preserve">Synthetic</t>
  </si>
  <si>
    <t xml:space="preserve">EEFC Sep-2026 bucket (USD)</t>
  </si>
  <si>
    <t xml:space="preserve">Deadline 31 Oct 2026 - 5 days left</t>
  </si>
  <si>
    <t xml:space="preserve">EEFC Oct-2026 bucket (USD)</t>
  </si>
  <si>
    <t xml:space="preserve">Deadline 30 Nov 2026 - 35 days left</t>
  </si>
  <si>
    <t xml:space="preserve">Next payroll</t>
  </si>
  <si>
    <t xml:space="preserve">Mon 2 Nov 2026</t>
  </si>
  <si>
    <t xml:space="preserve">~Rs 37.1L</t>
  </si>
  <si>
    <t xml:space="preserve">Agent plan (expected outputs)</t>
  </si>
  <si>
    <t xml:space="preserve">ID</t>
  </si>
  <si>
    <t xml:space="preserve">Type</t>
  </si>
  <si>
    <t xml:space="preserve">Title</t>
  </si>
  <si>
    <t xml:space="preserve">Action</t>
  </si>
  <si>
    <t xml:space="preserve">USD</t>
  </si>
  <si>
    <t xml:space="preserve">Est. INR</t>
  </si>
  <si>
    <t xml:space="preserve">Deadline / timing</t>
  </si>
  <si>
    <t xml:space="preserve">Confidence %</t>
  </si>
  <si>
    <t xml:space="preserve">Band</t>
  </si>
  <si>
    <t xml:space="preserve">Agent reasoning</t>
  </si>
  <si>
    <t xml:space="preserve">Input flagged for review</t>
  </si>
  <si>
    <t xml:space="preserve">What the merchant can do</t>
  </si>
  <si>
    <t xml:space="preserve">R1</t>
  </si>
  <si>
    <t xml:space="preserve">LOCKED - deadline rule</t>
  </si>
  <si>
    <t xml:space="preserve">Convert the remaining September balance</t>
  </si>
  <si>
    <t xml:space="preserve">Convert USD 21,332 from the Sep-2026 bucket on Fri 30 Oct 2026</t>
  </si>
  <si>
    <t xml:space="preserve">2026-10-31 (Sat) - executes Fri 30 Oct</t>
  </si>
  <si>
    <t xml:space="preserve">Locked</t>
  </si>
  <si>
    <t xml:space="preserve">RBI EEFC rule: September accruals must be converted by the last day of October. 31 Oct is a Saturday, so the agent schedules Friday. Cannot be skipped; amount is the unutilised balance.</t>
  </si>
  <si>
    <t xml:space="preserve">View / change execution time only (must be on or before 30 Oct)</t>
  </si>
  <si>
    <t xml:space="preserve">R2</t>
  </si>
  <si>
    <t xml:space="preserve">Recommendation</t>
  </si>
  <si>
    <t xml:space="preserve">Fund the 2 Nov payroll and 5 Nov rent</t>
  </si>
  <si>
    <t xml:space="preserve">Convert USD 23,800 from the Oct-2026 bucket on Thu 29 Oct 2026</t>
  </si>
  <si>
    <t xml:space="preserve">Before 2 Nov payroll</t>
  </si>
  <si>
    <t xml:space="preserve">High</t>
  </si>
  <si>
    <t xml:space="preserve">Payroll ~INR 37.1L (24 of 24 months on the 1st/next business day) + rent INR 3.36L + INR 8L buffer, minus current INR balance INR 8.56L and the locked Sep conversion (~INR 18.9L).</t>
  </si>
  <si>
    <t xml:space="preserve">Approve / edit amount or date / skip</t>
  </si>
  <si>
    <t xml:space="preserve">R3</t>
  </si>
  <si>
    <t xml:space="preserve">Hold USD for AWS and tools - do not convert</t>
  </si>
  <si>
    <t xml:space="preserve">Keep USD 9,700 in EEFC to pay AWS (3 Nov) and tools (9 Nov) directly in USD</t>
  </si>
  <si>
    <t xml:space="preserve">3 Nov / 9 Nov</t>
  </si>
  <si>
    <t xml:space="preserve">Medium</t>
  </si>
  <si>
    <t xml:space="preserve">Paying from USD avoids buying dollars back at ~3% card markup (~INR 25.7k saved). AWS estimate USD 7,278 (range 6,186-8,369); held amount covers the top of the range.</t>
  </si>
  <si>
    <t xml:space="preserve">AWS bill amount - Oct was 31% above the prior 5-month average</t>
  </si>
  <si>
    <t xml:space="preserve">Confirm expected AWS bill, then approve / edit / skip</t>
  </si>
  <si>
    <t xml:space="preserve">R4</t>
  </si>
  <si>
    <t xml:space="preserve">Question (low confidence)</t>
  </si>
  <si>
    <t xml:space="preserve">Will the team offsite recur this November?</t>
  </si>
  <si>
    <t xml:space="preserve">No conversion proposed until answered</t>
  </si>
  <si>
    <t xml:space="preserve">Answer before ~10 Nov</t>
  </si>
  <si>
    <t xml:space="preserve">Low</t>
  </si>
  <si>
    <t xml:space="preserve">An INR 4.2L payment to Coorg Retreats appeared once (14 Nov 2025). One occurrence is not enough to forecast it, so the agent asks instead of guessing.</t>
  </si>
  <si>
    <t xml:space="preserve">Is this a recurring annual expense?</t>
  </si>
  <si>
    <t xml:space="preserve">Yes (adds INR 4.2L to the Nov plan) / No / Not sure (agent keeps extra buffer)</t>
  </si>
  <si>
    <t xml:space="preserve">R5</t>
  </si>
  <si>
    <t xml:space="preserve">Planned - deadline rule + AI timing</t>
  </si>
  <si>
    <t xml:space="preserve">Convert the rest of the October balance in 2 tranches</t>
  </si>
  <si>
    <t xml:space="preserve">Convert USD 18,800 on Mon 16 Nov and USD 18,890 on Thu 26 Nov</t>
  </si>
  <si>
    <t xml:space="preserve">2026-11-30 (Oct accruals)</t>
  </si>
  <si>
    <t xml:space="preserve">October accruals must be converted by 30 Nov. Splitting into two dates avoids converting the whole balance at a single day's rate; the INR funds GST (20 Nov) and the 1 Dec payroll.</t>
  </si>
  <si>
    <t xml:space="preserve">Change tranche dates/split (all must complete by 30 Nov)</t>
  </si>
  <si>
    <t xml:space="preserve">R6</t>
  </si>
  <si>
    <t xml:space="preserve">Top up for the 1 Dec payroll from November receipts</t>
  </si>
  <si>
    <t xml:space="preserve">Convert ~USD 6,300 from November receipts around 27 Nov</t>
  </si>
  <si>
    <t xml:space="preserve">Before 1 Dec payroll</t>
  </si>
  <si>
    <t xml:space="preserve">Depends on ~USD 45,450 from on-time clients (reliable), plus Atlas Freight USD 17,110 (new client, only 3 payments seen) and Brightpath's overdue Oct invoice USD 8,630 (habitually 30-45 days late).</t>
  </si>
  <si>
    <t xml:space="preserve">Timing of Atlas Freight (new) and Brightpath Health (late payer) receipts</t>
  </si>
  <si>
    <t xml:space="preserve">Confirm whether Atlas/Brightpath payments are expected, then approve / edit / skip</t>
  </si>
  <si>
    <t xml:space="preserve">Bands</t>
  </si>
  <si>
    <t xml:space="preserve">Rule</t>
  </si>
  <si>
    <t xml:space="preserve">Behaviour</t>
  </si>
  <si>
    <t xml:space="preserve">&gt;= 80%</t>
  </si>
  <si>
    <t xml:space="preserve">Quick approve: one summary card, then app authentication</t>
  </si>
  <si>
    <t xml:space="preserve">50-79%</t>
  </si>
  <si>
    <t xml:space="preserve">Flagged input shown; merchant confirms/edits it, then authenticates</t>
  </si>
  <si>
    <t xml:space="preserve">&lt; 50%</t>
  </si>
  <si>
    <t xml:space="preserve">No recommendation - the agent asks a question first</t>
  </si>
  <si>
    <t xml:space="preserve">Rule-driven</t>
  </si>
  <si>
    <t xml:space="preserve">EEFC deadline conversions; no score; cannot be skipped</t>
  </si>
  <si>
    <t xml:space="preserve">Use-case coverage checklist</t>
  </si>
  <si>
    <t xml:space="preserve">Case</t>
  </si>
  <si>
    <t xml:space="preserve">Where it appears</t>
  </si>
  <si>
    <t xml:space="preserve">Locked deadline conversion (no confidence score)</t>
  </si>
  <si>
    <t xml:space="preserve">R1, R5</t>
  </si>
  <si>
    <t xml:space="preserve">High-confidence recommendation (green)</t>
  </si>
  <si>
    <t xml:space="preserve">Medium confidence with flagged input (amber)</t>
  </si>
  <si>
    <t xml:space="preserve">R3, R6</t>
  </si>
  <si>
    <t xml:space="preserve">Low confidence -&gt; agent asks a question (red)</t>
  </si>
  <si>
    <t xml:space="preserve">Netting USD payables instead of converting</t>
  </si>
  <si>
    <t xml:space="preserve">Recurring obligations detected from 24 months of history</t>
  </si>
  <si>
    <t xml:space="preserve">Detected_Patterns sheet</t>
  </si>
  <si>
    <t xml:space="preserve">Non-operating flow correctly ignored (FD sweeps, one-off equipment)</t>
  </si>
  <si>
    <t xml:space="preserve">INR_Outflows: Sweep to fixed deposit / Equipment</t>
  </si>
  <si>
    <t xml:space="preserve">Late-paying client</t>
  </si>
  <si>
    <t xml:space="preserve">Brightpath Health (C02)</t>
  </si>
  <si>
    <t xml:space="preserve">New large client with thin history</t>
  </si>
  <si>
    <t xml:space="preserve">Atlas Freight Partners (C11)</t>
  </si>
  <si>
    <t xml:space="preserve">Churned client (agent must not forecast its receipts)</t>
  </si>
  <si>
    <t xml:space="preserve">Cedar &amp; Finch Retail (C03)</t>
  </si>
  <si>
    <t xml:space="preserve">Annual prepayment spikes</t>
  </si>
  <si>
    <t xml:space="preserve">Northgate (Jan), Bluefjord (Jul)</t>
  </si>
  <si>
    <t xml:space="preserve">Weekend deadline handling</t>
  </si>
  <si>
    <t xml:space="preserve">31 Oct 2026 is a Saturday -&gt; R1 executes Fri 30 Oct</t>
  </si>
  <si>
    <t xml:space="preserve">Baseline vs agent value</t>
  </si>
  <si>
    <t xml:space="preserve">Value_at_Stake sheet</t>
  </si>
  <si>
    <t xml:space="preserve">Value at stake - netting USD costs from EEFC</t>
  </si>
  <si>
    <t xml:space="preserve">Formulas read the USD_Outflows sheet. Blue = assumption you can change on README / generator.</t>
  </si>
  <si>
    <t xml:space="preserve">Metric</t>
  </si>
  <si>
    <t xml:space="preserve">EEFC switched on (date)</t>
  </si>
  <si>
    <t xml:space="preserve">Input</t>
  </si>
  <si>
    <t xml:space="preserve">Months of convert-at-settlement history</t>
  </si>
  <si>
    <t xml:space="preserve">USD costs paid by buying USD back (USD)</t>
  </si>
  <si>
    <t xml:space="preserve">INR spent on those USD costs (Rs)</t>
  </si>
  <si>
    <t xml:space="preserve">Avoidable FX cost - markups + wire fees (Rs)</t>
  </si>
  <si>
    <t xml:space="preserve">Avoidable FX cost, annualised (Rs / yr)</t>
  </si>
  <si>
    <t xml:space="preserve">As % of USD costs</t>
  </si>
  <si>
    <t xml:space="preserve">Since EEFC: USD costs paid directly from EEFC (USD)</t>
  </si>
  <si>
    <t xml:space="preserve">Since EEFC: still paid by card (EEFC empty on 3 Sep) (USD)</t>
  </si>
  <si>
    <t xml:space="preserve">Not claimed: any gain from predicting USD/INR moves. The agent's value is removing avoidable costs (round-trips, deadline-day forced conversions) and timing conversions to actual INR needs.</t>
  </si>
  <si>
    <t xml:space="preserve">Monthly summary (live formulas over the data sheets)</t>
  </si>
  <si>
    <t xml:space="preserve">Month</t>
  </si>
  <si>
    <t xml:space="preserve">Month end</t>
  </si>
  <si>
    <t xml:space="preserve">USD received</t>
  </si>
  <si>
    <t xml:space="preserve">INR from conversions (Rs)</t>
  </si>
  <si>
    <t xml:space="preserve">INR operating outflows (Rs)</t>
  </si>
  <si>
    <t xml:space="preserve">FD sweeps (Rs)</t>
  </si>
  <si>
    <t xml:space="preserve">USD costs (USD)</t>
  </si>
  <si>
    <t xml:space="preserve">Avoidable FX cost (Rs)</t>
  </si>
  <si>
    <t xml:space="preserve">INR balance at month end (Rs)</t>
  </si>
  <si>
    <t xml:space="preserve">EEFC USD at month end</t>
  </si>
  <si>
    <t xml:space="preserve">Total</t>
  </si>
  <si>
    <t xml:space="preserve">Obligation</t>
  </si>
  <si>
    <t xml:space="preserve">Ccy</t>
  </si>
  <si>
    <t xml:space="preserve">Cadence</t>
  </si>
  <si>
    <t xml:space="preserve">Times seen</t>
  </si>
  <si>
    <t xml:space="preserve">Last seen</t>
  </si>
  <si>
    <t xml:space="preserve">Next expected</t>
  </si>
  <si>
    <t xml:space="preserve">Estimate</t>
  </si>
  <si>
    <t xml:space="preserve">Range low</t>
  </si>
  <si>
    <t xml:space="preserve">Range high</t>
  </si>
  <si>
    <t xml:space="preserve">History factor</t>
  </si>
  <si>
    <t xml:space="preserve">Timing factor</t>
  </si>
  <si>
    <t xml:space="preserve">Amount factor</t>
  </si>
  <si>
    <t xml:space="preserve">Trend break?</t>
  </si>
  <si>
    <t xml:space="preserve">Agent note</t>
  </si>
  <si>
    <t xml:space="preserve">Payroll</t>
  </si>
  <si>
    <t xml:space="preserve">INR</t>
  </si>
  <si>
    <t xml:space="preserve">Monthly</t>
  </si>
  <si>
    <t xml:space="preserve">Salary run on the 1st (next business day if weekend); steps up each April appraisal + Aug 2026 hires</t>
  </si>
  <si>
    <t xml:space="preserve">Rent</t>
  </si>
  <si>
    <t xml:space="preserve">Fixed amount, 5% escalation each April</t>
  </si>
  <si>
    <t xml:space="preserve">GST</t>
  </si>
  <si>
    <t xml:space="preserve">Paid on the 20th; amount varies month to month</t>
  </si>
  <si>
    <t xml:space="preserve">Advance tax</t>
  </si>
  <si>
    <t xml:space="preserve">Quarterly</t>
  </si>
  <si>
    <t xml:space="preserve">Quarterly on 15 Jun/Sep/Dec/Mar; next is outside the 30-day window</t>
  </si>
  <si>
    <t xml:space="preserve">Team offsite (Coorg Retreats)</t>
  </si>
  <si>
    <t xml:space="preserve">Unknown (seen once)</t>
  </si>
  <si>
    <t xml:space="preserve">Paid once in Nov 2025 - agent cannot tell if it recurs; asks the merchant</t>
  </si>
  <si>
    <t xml:space="preserve">AWS</t>
  </si>
  <si>
    <t xml:space="preserve">Billed on the 3rd; usage spiked +18% in Sep and +31% in Oct (Atlas onboarding)</t>
  </si>
  <si>
    <t xml:space="preserve">Dev &amp; collaboration tools</t>
  </si>
  <si>
    <t xml:space="preserve">Fixed seat-based plan</t>
  </si>
  <si>
    <t xml:space="preserve">Marisol Vega Design LLC (US)</t>
  </si>
  <si>
    <t xml:space="preserve">Quarterly wire on the 10th; next is outside the window</t>
  </si>
  <si>
    <t xml:space="preserve">Confidence = 100 x history factor x timing factor x amount factor. History = sqrt(min(1,(n+3)/12)); timing = 1 - min(0.4, sd of day/15) (0.6 if seen once); amount = 1 - min(0.5, CV of last 6), x0.8 if the latest value breaks &gt;10% from the prior average. Illustrative heuristic for the prototype.</t>
  </si>
  <si>
    <t xml:space="preserve">Client</t>
  </si>
  <si>
    <t xml:space="preserve">Plan</t>
  </si>
  <si>
    <t xml:space="preserve">Status</t>
  </si>
  <si>
    <t xml:space="preserve">Invoices paid</t>
  </si>
  <si>
    <t xml:space="preserve">Avg days after due (- = early)</t>
  </si>
  <si>
    <t xml:space="preserve">SD (days)</t>
  </si>
  <si>
    <t xml:space="preserve">Latest invoice (USD)</t>
  </si>
  <si>
    <t xml:space="preserve">Timing confidence %</t>
  </si>
  <si>
    <t xml:space="preserve">C01</t>
  </si>
  <si>
    <t xml:space="preserve">Harborline Logistics</t>
  </si>
  <si>
    <t xml:space="preserve">Active</t>
  </si>
  <si>
    <t xml:space="preserve">C02</t>
  </si>
  <si>
    <t xml:space="preserve">Brightpath Health</t>
  </si>
  <si>
    <t xml:space="preserve">C03</t>
  </si>
  <si>
    <t xml:space="preserve">Cedar &amp; Finch Retail</t>
  </si>
  <si>
    <t xml:space="preserve">Churned (last invoice Mar 2026)</t>
  </si>
  <si>
    <t xml:space="preserve">C04</t>
  </si>
  <si>
    <t xml:space="preserve">Northgate Insurance Group</t>
  </si>
  <si>
    <t xml:space="preserve">Annual</t>
  </si>
  <si>
    <t xml:space="preserve">Annual payer</t>
  </si>
  <si>
    <t xml:space="preserve">C05</t>
  </si>
  <si>
    <t xml:space="preserve">Bluefjord Media</t>
  </si>
  <si>
    <t xml:space="preserve">C06</t>
  </si>
  <si>
    <t xml:space="preserve">Quillmark Legal</t>
  </si>
  <si>
    <t xml:space="preserve">C07</t>
  </si>
  <si>
    <t xml:space="preserve">Solace Fitness</t>
  </si>
  <si>
    <t xml:space="preserve">C08</t>
  </si>
  <si>
    <t xml:space="preserve">Tidewater Credit Union</t>
  </si>
  <si>
    <t xml:space="preserve">C09</t>
  </si>
  <si>
    <t xml:space="preserve">Ember Labs</t>
  </si>
  <si>
    <t xml:space="preserve">C10</t>
  </si>
  <si>
    <t xml:space="preserve">Pinecrest Schools</t>
  </si>
  <si>
    <t xml:space="preserve">C11</t>
  </si>
  <si>
    <t xml:space="preserve">Atlas Freight Partners</t>
  </si>
  <si>
    <t xml:space="preserve">C12</t>
  </si>
  <si>
    <t xml:space="preserve">Kestrel Analytics</t>
  </si>
  <si>
    <t xml:space="preserve">C13</t>
  </si>
  <si>
    <t xml:space="preserve">Orchard Robotics</t>
  </si>
  <si>
    <t xml:space="preserve">Invoice ID</t>
  </si>
  <si>
    <t xml:space="preserve">Client ID</t>
  </si>
  <si>
    <t xml:space="preserve">Currency</t>
  </si>
  <si>
    <t xml:space="preserve">Amount (USD)</t>
  </si>
  <si>
    <t xml:space="preserve">Invoice date</t>
  </si>
  <si>
    <t xml:space="preserve">Due date</t>
  </si>
  <si>
    <t xml:space="preserve">Paid date</t>
  </si>
  <si>
    <t xml:space="preserve">Days after due</t>
  </si>
  <si>
    <t xml:space="preserve">INV-202411-C01</t>
  </si>
  <si>
    <t xml:space="preserve">Paid</t>
  </si>
  <si>
    <t xml:space="preserve">INV-202411-C02</t>
  </si>
  <si>
    <t xml:space="preserve">INV-202411-C03</t>
  </si>
  <si>
    <t xml:space="preserve">INV-202411-C06</t>
  </si>
  <si>
    <t xml:space="preserve">INV-202411-C08</t>
  </si>
  <si>
    <t xml:space="preserve">INV-202411-C12</t>
  </si>
  <si>
    <t xml:space="preserve">INV-202412-C01</t>
  </si>
  <si>
    <t xml:space="preserve">INV-202412-C02</t>
  </si>
  <si>
    <t xml:space="preserve">INV-202412-C03</t>
  </si>
  <si>
    <t xml:space="preserve">INV-202412-C06</t>
  </si>
  <si>
    <t xml:space="preserve">INV-202412-C08</t>
  </si>
  <si>
    <t xml:space="preserve">INV-202412-C12</t>
  </si>
  <si>
    <t xml:space="preserve">INV-202501-C01</t>
  </si>
  <si>
    <t xml:space="preserve">INV-202501-C02</t>
  </si>
  <si>
    <t xml:space="preserve">INV-202501-C03</t>
  </si>
  <si>
    <t xml:space="preserve">INV-202501-C04</t>
  </si>
  <si>
    <t xml:space="preserve">INV-202501-C06</t>
  </si>
  <si>
    <t xml:space="preserve">INV-202501-C08</t>
  </si>
  <si>
    <t xml:space="preserve">INV-202501-C12</t>
  </si>
  <si>
    <t xml:space="preserve">INV-202502-C01</t>
  </si>
  <si>
    <t xml:space="preserve">INV-202502-C02</t>
  </si>
  <si>
    <t xml:space="preserve">INV-202502-C03</t>
  </si>
  <si>
    <t xml:space="preserve">INV-202502-C06</t>
  </si>
  <si>
    <t xml:space="preserve">INV-202502-C07</t>
  </si>
  <si>
    <t xml:space="preserve">INV-202502-C08</t>
  </si>
  <si>
    <t xml:space="preserve">INV-202502-C12</t>
  </si>
  <si>
    <t xml:space="preserve">INV-202503-C01</t>
  </si>
  <si>
    <t xml:space="preserve">INV-202503-C02</t>
  </si>
  <si>
    <t xml:space="preserve">INV-202503-C03</t>
  </si>
  <si>
    <t xml:space="preserve">INV-202503-C06</t>
  </si>
  <si>
    <t xml:space="preserve">INV-202503-C07</t>
  </si>
  <si>
    <t xml:space="preserve">INV-202503-C08</t>
  </si>
  <si>
    <t xml:space="preserve">INV-202503-C12</t>
  </si>
  <si>
    <t xml:space="preserve">INV-202504-C01</t>
  </si>
  <si>
    <t xml:space="preserve">INV-202504-C02</t>
  </si>
  <si>
    <t xml:space="preserve">INV-202504-C03</t>
  </si>
  <si>
    <t xml:space="preserve">INV-202504-C06</t>
  </si>
  <si>
    <t xml:space="preserve">INV-202504-C07</t>
  </si>
  <si>
    <t xml:space="preserve">INV-202504-C08</t>
  </si>
  <si>
    <t xml:space="preserve">INV-202504-C12</t>
  </si>
  <si>
    <t xml:space="preserve">INV-202505-C01</t>
  </si>
  <si>
    <t xml:space="preserve">INV-202505-C02</t>
  </si>
  <si>
    <t xml:space="preserve">INV-202505-C03</t>
  </si>
  <si>
    <t xml:space="preserve">INV-202505-C06</t>
  </si>
  <si>
    <t xml:space="preserve">INV-202505-C07</t>
  </si>
  <si>
    <t xml:space="preserve">INV-202505-C08</t>
  </si>
  <si>
    <t xml:space="preserve">INV-202505-C12</t>
  </si>
  <si>
    <t xml:space="preserve">INV-202506-C01</t>
  </si>
  <si>
    <t xml:space="preserve">INV-202506-C02</t>
  </si>
  <si>
    <t xml:space="preserve">INV-202506-C03</t>
  </si>
  <si>
    <t xml:space="preserve">INV-202506-C06</t>
  </si>
  <si>
    <t xml:space="preserve">INV-202506-C07</t>
  </si>
  <si>
    <t xml:space="preserve">INV-202506-C08</t>
  </si>
  <si>
    <t xml:space="preserve">INV-202506-C09</t>
  </si>
  <si>
    <t xml:space="preserve">INV-202506-C12</t>
  </si>
  <si>
    <t xml:space="preserve">INV-202507-C01</t>
  </si>
  <si>
    <t xml:space="preserve">INV-202507-C02</t>
  </si>
  <si>
    <t xml:space="preserve">INV-202507-C03</t>
  </si>
  <si>
    <t xml:space="preserve">INV-202507-C05</t>
  </si>
  <si>
    <t xml:space="preserve">INV-202507-C06</t>
  </si>
  <si>
    <t xml:space="preserve">INV-202507-C07</t>
  </si>
  <si>
    <t xml:space="preserve">INV-202507-C08</t>
  </si>
  <si>
    <t xml:space="preserve">INV-202507-C09</t>
  </si>
  <si>
    <t xml:space="preserve">INV-202507-C12</t>
  </si>
  <si>
    <t xml:space="preserve">INV-202508-C01</t>
  </si>
  <si>
    <t xml:space="preserve">INV-202508-C02</t>
  </si>
  <si>
    <t xml:space="preserve">INV-202508-C03</t>
  </si>
  <si>
    <t xml:space="preserve">INV-202508-C06</t>
  </si>
  <si>
    <t xml:space="preserve">INV-202508-C07</t>
  </si>
  <si>
    <t xml:space="preserve">INV-202508-C08</t>
  </si>
  <si>
    <t xml:space="preserve">INV-202508-C09</t>
  </si>
  <si>
    <t xml:space="preserve">INV-202508-C12</t>
  </si>
  <si>
    <t xml:space="preserve">INV-202509-C01</t>
  </si>
  <si>
    <t xml:space="preserve">INV-202509-C02</t>
  </si>
  <si>
    <t xml:space="preserve">INV-202509-C03</t>
  </si>
  <si>
    <t xml:space="preserve">INV-202509-C06</t>
  </si>
  <si>
    <t xml:space="preserve">INV-202509-C07</t>
  </si>
  <si>
    <t xml:space="preserve">INV-202509-C08</t>
  </si>
  <si>
    <t xml:space="preserve">INV-202509-C09</t>
  </si>
  <si>
    <t xml:space="preserve">INV-202509-C10</t>
  </si>
  <si>
    <t xml:space="preserve">INV-202509-C12</t>
  </si>
  <si>
    <t xml:space="preserve">INV-202510-C01</t>
  </si>
  <si>
    <t xml:space="preserve">INV-202510-C02</t>
  </si>
  <si>
    <t xml:space="preserve">INV-202510-C03</t>
  </si>
  <si>
    <t xml:space="preserve">INV-202510-C06</t>
  </si>
  <si>
    <t xml:space="preserve">INV-202510-C07</t>
  </si>
  <si>
    <t xml:space="preserve">INV-202510-C08</t>
  </si>
  <si>
    <t xml:space="preserve">INV-202510-C09</t>
  </si>
  <si>
    <t xml:space="preserve">INV-202510-C10</t>
  </si>
  <si>
    <t xml:space="preserve">INV-202510-C12</t>
  </si>
  <si>
    <t xml:space="preserve">INV-202511-C01</t>
  </si>
  <si>
    <t xml:space="preserve">INV-202511-C02</t>
  </si>
  <si>
    <t xml:space="preserve">INV-202511-C03</t>
  </si>
  <si>
    <t xml:space="preserve">INV-202511-C06</t>
  </si>
  <si>
    <t xml:space="preserve">INV-202511-C07</t>
  </si>
  <si>
    <t xml:space="preserve">INV-202511-C08</t>
  </si>
  <si>
    <t xml:space="preserve">INV-202511-C09</t>
  </si>
  <si>
    <t xml:space="preserve">INV-202511-C10</t>
  </si>
  <si>
    <t xml:space="preserve">INV-202511-C12</t>
  </si>
  <si>
    <t xml:space="preserve">INV-202512-C01</t>
  </si>
  <si>
    <t xml:space="preserve">INV-202512-C02</t>
  </si>
  <si>
    <t xml:space="preserve">INV-202512-C03</t>
  </si>
  <si>
    <t xml:space="preserve">INV-202512-C06</t>
  </si>
  <si>
    <t xml:space="preserve">INV-202512-C07</t>
  </si>
  <si>
    <t xml:space="preserve">INV-202512-C08</t>
  </si>
  <si>
    <t xml:space="preserve">INV-202512-C09</t>
  </si>
  <si>
    <t xml:space="preserve">INV-202512-C10</t>
  </si>
  <si>
    <t xml:space="preserve">INV-202512-C12</t>
  </si>
  <si>
    <t xml:space="preserve">INV-202601-C01</t>
  </si>
  <si>
    <t xml:space="preserve">INV-202601-C02</t>
  </si>
  <si>
    <t xml:space="preserve">INV-202601-C03</t>
  </si>
  <si>
    <t xml:space="preserve">INV-202601-C04</t>
  </si>
  <si>
    <t xml:space="preserve">INV-202601-C06</t>
  </si>
  <si>
    <t xml:space="preserve">INV-202601-C07</t>
  </si>
  <si>
    <t xml:space="preserve">INV-202601-C08</t>
  </si>
  <si>
    <t xml:space="preserve">INV-202601-C09</t>
  </si>
  <si>
    <t xml:space="preserve">INV-202601-C10</t>
  </si>
  <si>
    <t xml:space="preserve">INV-202601-C12</t>
  </si>
  <si>
    <t xml:space="preserve">INV-202602-C01</t>
  </si>
  <si>
    <t xml:space="preserve">INV-202602-C02</t>
  </si>
  <si>
    <t xml:space="preserve">INV-202602-C03</t>
  </si>
  <si>
    <t xml:space="preserve">INV-202602-C06</t>
  </si>
  <si>
    <t xml:space="preserve">INV-202602-C07</t>
  </si>
  <si>
    <t xml:space="preserve">INV-202602-C08</t>
  </si>
  <si>
    <t xml:space="preserve">INV-202602-C09</t>
  </si>
  <si>
    <t xml:space="preserve">INV-202602-C10</t>
  </si>
  <si>
    <t xml:space="preserve">INV-202602-C12</t>
  </si>
  <si>
    <t xml:space="preserve">INV-202603-C01</t>
  </si>
  <si>
    <t xml:space="preserve">INV-202603-C02</t>
  </si>
  <si>
    <t xml:space="preserve">INV-202603-C03</t>
  </si>
  <si>
    <t xml:space="preserve">INV-202603-C06</t>
  </si>
  <si>
    <t xml:space="preserve">INV-202603-C07</t>
  </si>
  <si>
    <t xml:space="preserve">INV-202603-C08</t>
  </si>
  <si>
    <t xml:space="preserve">INV-202603-C09</t>
  </si>
  <si>
    <t xml:space="preserve">INV-202603-C10</t>
  </si>
  <si>
    <t xml:space="preserve">INV-202603-C12</t>
  </si>
  <si>
    <t xml:space="preserve">INV-202603-C13</t>
  </si>
  <si>
    <t xml:space="preserve">INV-202604-C01</t>
  </si>
  <si>
    <t xml:space="preserve">INV-202604-C02</t>
  </si>
  <si>
    <t xml:space="preserve">INV-202604-C06</t>
  </si>
  <si>
    <t xml:space="preserve">INV-202604-C07</t>
  </si>
  <si>
    <t xml:space="preserve">INV-202604-C08</t>
  </si>
  <si>
    <t xml:space="preserve">INV-202604-C09</t>
  </si>
  <si>
    <t xml:space="preserve">INV-202604-C10</t>
  </si>
  <si>
    <t xml:space="preserve">INV-202604-C12</t>
  </si>
  <si>
    <t xml:space="preserve">INV-202604-C13</t>
  </si>
  <si>
    <t xml:space="preserve">INV-202605-C01</t>
  </si>
  <si>
    <t xml:space="preserve">INV-202605-C02</t>
  </si>
  <si>
    <t xml:space="preserve">INV-202605-C06</t>
  </si>
  <si>
    <t xml:space="preserve">INV-202605-C07</t>
  </si>
  <si>
    <t xml:space="preserve">INV-202605-C08</t>
  </si>
  <si>
    <t xml:space="preserve">INV-202605-C09</t>
  </si>
  <si>
    <t xml:space="preserve">INV-202605-C10</t>
  </si>
  <si>
    <t xml:space="preserve">INV-202605-C12</t>
  </si>
  <si>
    <t xml:space="preserve">INV-202605-C13</t>
  </si>
  <si>
    <t xml:space="preserve">INV-202606-C01</t>
  </si>
  <si>
    <t xml:space="preserve">INV-202606-C02</t>
  </si>
  <si>
    <t xml:space="preserve">INV-202606-C06</t>
  </si>
  <si>
    <t xml:space="preserve">INV-202606-C07</t>
  </si>
  <si>
    <t xml:space="preserve">INV-202606-C08</t>
  </si>
  <si>
    <t xml:space="preserve">INV-202606-C09</t>
  </si>
  <si>
    <t xml:space="preserve">INV-202606-C10</t>
  </si>
  <si>
    <t xml:space="preserve">INV-202606-C12</t>
  </si>
  <si>
    <t xml:space="preserve">INV-202606-C13</t>
  </si>
  <si>
    <t xml:space="preserve">INV-202607-C01</t>
  </si>
  <si>
    <t xml:space="preserve">INV-202607-C02</t>
  </si>
  <si>
    <t xml:space="preserve">INV-202607-C05</t>
  </si>
  <si>
    <t xml:space="preserve">INV-202607-C06</t>
  </si>
  <si>
    <t xml:space="preserve">INV-202607-C07</t>
  </si>
  <si>
    <t xml:space="preserve">INV-202607-C08</t>
  </si>
  <si>
    <t xml:space="preserve">INV-202607-C09</t>
  </si>
  <si>
    <t xml:space="preserve">INV-202607-C10</t>
  </si>
  <si>
    <t xml:space="preserve">INV-202607-C12</t>
  </si>
  <si>
    <t xml:space="preserve">INV-202607-C13</t>
  </si>
  <si>
    <t xml:space="preserve">INV-202608-C01</t>
  </si>
  <si>
    <t xml:space="preserve">INV-202608-C02</t>
  </si>
  <si>
    <t xml:space="preserve">INV-202608-C06</t>
  </si>
  <si>
    <t xml:space="preserve">INV-202608-C07</t>
  </si>
  <si>
    <t xml:space="preserve">INV-202608-C08</t>
  </si>
  <si>
    <t xml:space="preserve">INV-202608-C09</t>
  </si>
  <si>
    <t xml:space="preserve">INV-202608-C10</t>
  </si>
  <si>
    <t xml:space="preserve">INV-202608-C11</t>
  </si>
  <si>
    <t xml:space="preserve">INV-202608-C12</t>
  </si>
  <si>
    <t xml:space="preserve">INV-202608-C13</t>
  </si>
  <si>
    <t xml:space="preserve">INV-202609-C01</t>
  </si>
  <si>
    <t xml:space="preserve">INV-202609-C02</t>
  </si>
  <si>
    <t xml:space="preserve">INV-202609-C06</t>
  </si>
  <si>
    <t xml:space="preserve">INV-202609-C07</t>
  </si>
  <si>
    <t xml:space="preserve">INV-202609-C08</t>
  </si>
  <si>
    <t xml:space="preserve">INV-202609-C09</t>
  </si>
  <si>
    <t xml:space="preserve">INV-202609-C10</t>
  </si>
  <si>
    <t xml:space="preserve">INV-202609-C11</t>
  </si>
  <si>
    <t xml:space="preserve">INV-202609-C12</t>
  </si>
  <si>
    <t xml:space="preserve">INV-202609-C13</t>
  </si>
  <si>
    <t xml:space="preserve">INV-202610-C01</t>
  </si>
  <si>
    <t xml:space="preserve">INV-202610-C02</t>
  </si>
  <si>
    <t xml:space="preserve">Outstanding</t>
  </si>
  <si>
    <t xml:space="preserve">INV-202610-C06</t>
  </si>
  <si>
    <t xml:space="preserve">INV-202610-C07</t>
  </si>
  <si>
    <t xml:space="preserve">INV-202610-C08</t>
  </si>
  <si>
    <t xml:space="preserve">INV-202610-C09</t>
  </si>
  <si>
    <t xml:space="preserve">INV-202610-C10</t>
  </si>
  <si>
    <t xml:space="preserve">INV-202610-C11</t>
  </si>
  <si>
    <t xml:space="preserve">INV-202610-C12</t>
  </si>
  <si>
    <t xml:space="preserve">INV-202610-C13</t>
  </si>
  <si>
    <t xml:space="preserve">INV-202611-C01</t>
  </si>
  <si>
    <t xml:space="preserve">Scheduled (not yet invoiced)</t>
  </si>
  <si>
    <t xml:space="preserve">INV-202611-C02</t>
  </si>
  <si>
    <t xml:space="preserve">INV-202611-C06</t>
  </si>
  <si>
    <t xml:space="preserve">INV-202611-C07</t>
  </si>
  <si>
    <t xml:space="preserve">INV-202611-C08</t>
  </si>
  <si>
    <t xml:space="preserve">INV-202611-C09</t>
  </si>
  <si>
    <t xml:space="preserve">INV-202611-C10</t>
  </si>
  <si>
    <t xml:space="preserve">INV-202611-C11</t>
  </si>
  <si>
    <t xml:space="preserve">INV-202611-C12</t>
  </si>
  <si>
    <t xml:space="preserve">INV-202611-C13</t>
  </si>
  <si>
    <t xml:space="preserve">INV-202612-C01</t>
  </si>
  <si>
    <t xml:space="preserve">INV-202612-C02</t>
  </si>
  <si>
    <t xml:space="preserve">INV-202612-C06</t>
  </si>
  <si>
    <t xml:space="preserve">INV-202612-C07</t>
  </si>
  <si>
    <t xml:space="preserve">INV-202612-C08</t>
  </si>
  <si>
    <t xml:space="preserve">INV-202612-C09</t>
  </si>
  <si>
    <t xml:space="preserve">INV-202612-C10</t>
  </si>
  <si>
    <t xml:space="preserve">INV-202612-C11</t>
  </si>
  <si>
    <t xml:space="preserve">INV-202612-C12</t>
  </si>
  <si>
    <t xml:space="preserve">INV-202612-C13</t>
  </si>
  <si>
    <t xml:space="preserve">Date</t>
  </si>
  <si>
    <t xml:space="preserve">Category</t>
  </si>
  <si>
    <t xml:space="preserve">Payee</t>
  </si>
  <si>
    <t xml:space="preserve">Amount (Rs)</t>
  </si>
  <si>
    <t xml:space="preserve">Recurring?</t>
  </si>
  <si>
    <t xml:space="preserve">Employees (salary run)</t>
  </si>
  <si>
    <t xml:space="preserve">Prestige Workspace LLP</t>
  </si>
  <si>
    <t xml:space="preserve">GSTN (domestic sales + RCM)</t>
  </si>
  <si>
    <t xml:space="preserve">Income Tax Dept</t>
  </si>
  <si>
    <t xml:space="preserve">Equipment</t>
  </si>
  <si>
    <t xml:space="preserve">Laptops - Croma Business</t>
  </si>
  <si>
    <t xml:space="preserve">One-off</t>
  </si>
  <si>
    <t xml:space="preserve">Office furniture</t>
  </si>
  <si>
    <t xml:space="preserve">Audit &amp; CA fees</t>
  </si>
  <si>
    <t xml:space="preserve">Rao &amp; Mehta Chartered Accountants</t>
  </si>
  <si>
    <t xml:space="preserve">Team offsite</t>
  </si>
  <si>
    <t xml:space="preserve">Coorg Retreats Pvt Ltd</t>
  </si>
  <si>
    <t xml:space="preserve">One-off (seen once)</t>
  </si>
  <si>
    <t xml:space="preserve">Sweep to fixed deposit</t>
  </si>
  <si>
    <t xml:space="preserve">Treasury FD (non-operating)</t>
  </si>
  <si>
    <t xml:space="preserve">Rule-based (non-operating)</t>
  </si>
  <si>
    <t xml:space="preserve">Legal</t>
  </si>
  <si>
    <t xml:space="preserve">Trademark filing</t>
  </si>
  <si>
    <t xml:space="preserve">Channel</t>
  </si>
  <si>
    <t xml:space="preserve">Paid from</t>
  </si>
  <si>
    <t xml:space="preserve">Mid rate</t>
  </si>
  <si>
    <t xml:space="preserve">INR cost (Rs)</t>
  </si>
  <si>
    <t xml:space="preserve">Cloud hosting</t>
  </si>
  <si>
    <t xml:space="preserve">Corporate card</t>
  </si>
  <si>
    <t xml:space="preserve">INR (bought USD)</t>
  </si>
  <si>
    <t xml:space="preserve">SaaS tools</t>
  </si>
  <si>
    <t xml:space="preserve">Contractor</t>
  </si>
  <si>
    <t xml:space="preserve">Bank wire</t>
  </si>
  <si>
    <t xml:space="preserve">EEFC (USD)</t>
  </si>
  <si>
    <t xml:space="preserve">Rate</t>
  </si>
  <si>
    <t xml:space="preserve">INR (Rs)</t>
  </si>
  <si>
    <t xml:space="preserve">Source</t>
  </si>
  <si>
    <t xml:space="preserve">From EEFC bucket</t>
  </si>
  <si>
    <t xml:space="preserve">Auto at settlement</t>
  </si>
  <si>
    <t xml:space="preserve">Manual - fund Oct payroll, rent &amp; GST</t>
  </si>
  <si>
    <t xml:space="preserve">EEFC</t>
  </si>
  <si>
    <t xml:space="preserve">2026-09</t>
  </si>
  <si>
    <t xml:space="preserve">Entry</t>
  </si>
  <si>
    <t xml:space="preserve">Reference</t>
  </si>
  <si>
    <t xml:space="preserve">USD (+credit / -debit)</t>
  </si>
  <si>
    <t xml:space="preserve">Bucket (month received)</t>
  </si>
  <si>
    <t xml:space="preserve">Credit - receipt</t>
  </si>
  <si>
    <t xml:space="preserve">Debit - paid Dev &amp; collaboration tools</t>
  </si>
  <si>
    <t xml:space="preserve">Debit - conversion to INR</t>
  </si>
  <si>
    <t xml:space="preserve">Debit - paid AWS</t>
  </si>
  <si>
    <t xml:space="preserve">2026-10</t>
  </si>
  <si>
    <t xml:space="preserve">Debit - paid Marisol Vega Design LLC (US)</t>
  </si>
  <si>
    <t xml:space="preserve">INR balance (Rs)</t>
  </si>
  <si>
    <t xml:space="preserve">EEFC balance (USD)</t>
  </si>
  <si>
    <t xml:space="preserve">USD/INR mid (synthetic)</t>
  </si>
  <si>
    <t xml:space="preserve">Country</t>
  </si>
  <si>
    <t xml:space="preserve">Price at start (USD)</t>
  </si>
  <si>
    <t xml:space="preserve">Start</t>
  </si>
  <si>
    <t xml:space="preserve">End</t>
  </si>
  <si>
    <t xml:space="preserve">US</t>
  </si>
  <si>
    <t xml:space="preserve">2024-11</t>
  </si>
  <si>
    <t xml:space="preserve">Pays on time</t>
  </si>
  <si>
    <t xml:space="preserve">Late payer (30-45 days past due)</t>
  </si>
  <si>
    <t xml:space="preserve">2026-03</t>
  </si>
  <si>
    <t xml:space="preserve">2025-01</t>
  </si>
  <si>
    <t xml:space="preserve">UK</t>
  </si>
  <si>
    <t xml:space="preserve">2025-07</t>
  </si>
  <si>
    <t xml:space="preserve">2025-02</t>
  </si>
  <si>
    <t xml:space="preserve">2025-06</t>
  </si>
  <si>
    <t xml:space="preserve">2025-09</t>
  </si>
  <si>
    <t xml:space="preserve">2026-08</t>
  </si>
  <si>
    <t xml:space="preserve">New large client (Aug 2026)</t>
  </si>
  <si>
    <t xml:space="preserve">Canada</t>
  </si>
</sst>
</file>

<file path=xl/styles.xml><?xml version="1.0" encoding="utf-8"?>
<styleSheet xmlns="http://schemas.openxmlformats.org/spreadsheetml/2006/main">
  <numFmts count="11">
    <numFmt numFmtId="164" formatCode="General"/>
    <numFmt numFmtId="165" formatCode="#,##0;\(#,##0\);\-"/>
    <numFmt numFmtId="166" formatCode="0.00"/>
    <numFmt numFmtId="167" formatCode="#,##0.00;\(#,##0.00\);\-"/>
    <numFmt numFmtId="168" formatCode="dd\-mmm\-yyyy"/>
    <numFmt numFmtId="169" formatCode="0"/>
    <numFmt numFmtId="170" formatCode="0.0%"/>
    <numFmt numFmtId="171" formatCode="mmm\-yyyy"/>
    <numFmt numFmtId="172" formatCode="General"/>
    <numFmt numFmtId="173" formatCode="0.0"/>
    <numFmt numFmtId="174" formatCode="0.0000"/>
  </numFmts>
  <fonts count="10">
    <font>
      <sz val="11"/>
      <color theme="1"/>
      <name val="Calibri"/>
      <family val="2"/>
      <charset val="1"/>
    </font>
    <font>
      <sz val="10"/>
      <name val="Arial"/>
      <family val="0"/>
    </font>
    <font>
      <sz val="10"/>
      <name val="Arial"/>
      <family val="0"/>
    </font>
    <font>
      <sz val="10"/>
      <name val="Arial"/>
      <family val="0"/>
    </font>
    <font>
      <b val="true"/>
      <sz val="16"/>
      <color rgb="FF0B2A4A"/>
      <name val="Arial"/>
      <family val="0"/>
      <charset val="1"/>
    </font>
    <font>
      <i val="true"/>
      <sz val="10"/>
      <color rgb="FF666666"/>
      <name val="Arial"/>
      <family val="0"/>
      <charset val="1"/>
    </font>
    <font>
      <b val="true"/>
      <sz val="10"/>
      <name val="Arial"/>
      <family val="0"/>
      <charset val="1"/>
    </font>
    <font>
      <b val="true"/>
      <sz val="10"/>
      <color rgb="FFFFFFFF"/>
      <name val="Arial"/>
      <family val="0"/>
      <charset val="1"/>
    </font>
    <font>
      <sz val="10"/>
      <name val="Arial"/>
      <family val="0"/>
      <charset val="1"/>
    </font>
    <font>
      <sz val="10"/>
      <color rgb="FF0000FF"/>
      <name val="Arial"/>
      <family val="0"/>
      <charset val="1"/>
    </font>
  </fonts>
  <fills count="8">
    <fill>
      <patternFill patternType="none"/>
    </fill>
    <fill>
      <patternFill patternType="gray125"/>
    </fill>
    <fill>
      <patternFill patternType="solid">
        <fgColor rgb="FFFFF4CC"/>
        <bgColor rgb="FFFDEBD0"/>
      </patternFill>
    </fill>
    <fill>
      <patternFill patternType="solid">
        <fgColor rgb="FF0B2A4A"/>
        <bgColor rgb="FF333333"/>
      </patternFill>
    </fill>
    <fill>
      <patternFill patternType="solid">
        <fgColor rgb="FFE2E6EC"/>
        <bgColor rgb="FFD9F2E1"/>
      </patternFill>
    </fill>
    <fill>
      <patternFill patternType="solid">
        <fgColor rgb="FFD9F2E1"/>
        <bgColor rgb="FFE2E6EC"/>
      </patternFill>
    </fill>
    <fill>
      <patternFill patternType="solid">
        <fgColor rgb="FFFDEBD0"/>
        <bgColor rgb="FFFFF4CC"/>
      </patternFill>
    </fill>
    <fill>
      <patternFill patternType="solid">
        <fgColor rgb="FFF8D7DA"/>
        <bgColor rgb="FFFDEBD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center" textRotation="0" wrapText="true" indent="0" shrinkToFit="false"/>
      <protection locked="true" hidden="false"/>
    </xf>
    <xf numFmtId="164" fontId="7" fillId="3"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top" textRotation="0" wrapText="true" indent="0" shrinkToFit="false"/>
      <protection locked="true" hidden="false"/>
    </xf>
    <xf numFmtId="165" fontId="8" fillId="0" borderId="0" xfId="0" applyFont="true" applyBorder="false" applyAlignment="true" applyProtection="false">
      <alignment horizontal="general" vertical="top" textRotation="0" wrapText="true" indent="0" shrinkToFit="false"/>
      <protection locked="true" hidden="false"/>
    </xf>
    <xf numFmtId="164" fontId="8" fillId="4" borderId="0" xfId="0" applyFont="true" applyBorder="false" applyAlignment="true" applyProtection="false">
      <alignment horizontal="general" vertical="top" textRotation="0" wrapText="true" indent="0" shrinkToFit="false"/>
      <protection locked="true" hidden="false"/>
    </xf>
    <xf numFmtId="164" fontId="8" fillId="5" borderId="0" xfId="0" applyFont="true" applyBorder="false" applyAlignment="true" applyProtection="false">
      <alignment horizontal="general" vertical="top" textRotation="0" wrapText="true" indent="0" shrinkToFit="false"/>
      <protection locked="true" hidden="false"/>
    </xf>
    <xf numFmtId="164" fontId="8" fillId="6" borderId="0" xfId="0" applyFont="true" applyBorder="false" applyAlignment="true" applyProtection="false">
      <alignment horizontal="general" vertical="top" textRotation="0" wrapText="true" indent="0" shrinkToFit="false"/>
      <protection locked="true" hidden="false"/>
    </xf>
    <xf numFmtId="164" fontId="8" fillId="7" borderId="0" xfId="0" applyFont="true" applyBorder="false" applyAlignment="true" applyProtection="false">
      <alignment horizontal="general" vertical="top" textRotation="0" wrapText="tru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4" fontId="8" fillId="6" borderId="0" xfId="0" applyFont="true" applyBorder="false" applyAlignment="false" applyProtection="false">
      <alignment horizontal="general" vertical="bottom" textRotation="0" wrapText="false" indent="0" shrinkToFit="false"/>
      <protection locked="true" hidden="false"/>
    </xf>
    <xf numFmtId="164" fontId="8" fillId="7"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73"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7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0B2A4A"/>
          <bgColor rgb="FF000000"/>
        </patternFill>
      </fill>
    </dxf>
    <dxf>
      <fill>
        <patternFill patternType="solid">
          <bgColor rgb="FF000000"/>
        </patternFill>
      </fill>
    </dxf>
    <dxf>
      <fill>
        <patternFill patternType="solid">
          <fgColor rgb="FFFFFFFF"/>
          <bgColor rgb="FF000000"/>
        </patternFill>
      </fill>
    </dxf>
    <dxf>
      <fill>
        <patternFill patternType="solid">
          <fgColor rgb="FFD9F2E1"/>
          <bgColor rgb="FF000000"/>
        </patternFill>
      </fill>
    </dxf>
    <dxf>
      <fill>
        <patternFill patternType="solid">
          <fgColor rgb="FFF8D7DA"/>
          <bgColor rgb="FF000000"/>
        </patternFill>
      </fill>
    </dxf>
    <dxf>
      <fill>
        <patternFill patternType="solid">
          <fgColor rgb="FFFDEBD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CC"/>
      <rgbColor rgb="FFE2E6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F2E1"/>
      <rgbColor rgb="FFFDEBD0"/>
      <rgbColor rgb="FF99CCFF"/>
      <rgbColor rgb="FFFF99CC"/>
      <rgbColor rgb="FFCC99FF"/>
      <rgbColor rgb="FFF8D7DA"/>
      <rgbColor rgb="FF3366FF"/>
      <rgbColor rgb="FF33CCCC"/>
      <rgbColor rgb="FF99CC00"/>
      <rgbColor rgb="FFFFCC00"/>
      <rgbColor rgb="FFFF9900"/>
      <rgbColor rgb="FFFF6600"/>
      <rgbColor rgb="FF666666"/>
      <rgbColor rgb="FF969696"/>
      <rgbColor rgb="FF0B2A4A"/>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2.xml.rels><?xml version="1.0" encoding="UTF-8"?>
<Relationships xmlns="http://schemas.openxmlformats.org/package/2006/relationships"><Relationship Id="rId1" Type="http://schemas.openxmlformats.org/officeDocument/2006/relationships/drawing" Target="../drawings/drawing8.xml"/>
</Relationships>
</file>

<file path=xl/worksheets/_rels/sheet13.xml.rels><?xml version="1.0" encoding="UTF-8"?>
<Relationships xmlns="http://schemas.openxmlformats.org/package/2006/relationships"><Relationship Id="rId1" Type="http://schemas.openxmlformats.org/officeDocument/2006/relationships/drawing" Target="../drawings/drawing9.xml"/>
</Relationships>
</file>

<file path=xl/worksheets/_rels/sheet14.xml.rels><?xml version="1.0" encoding="UTF-8"?>
<Relationships xmlns="http://schemas.openxmlformats.org/package/2006/relationships"><Relationship Id="rId1" Type="http://schemas.openxmlformats.org/officeDocument/2006/relationships/drawing" Target="../drawings/drawing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10"/>
  </cols>
  <sheetData>
    <row r="1" customFormat="false" ht="19.7" hidden="false" customHeight="false" outlineLevel="0" collapsed="false">
      <c r="A1" s="1" t="s">
        <v>0</v>
      </c>
    </row>
    <row r="2" customFormat="false" ht="15" hidden="false" customHeight="false" outlineLevel="0" collapsed="false">
      <c r="A2" s="2" t="s">
        <v>1</v>
      </c>
    </row>
    <row r="4" customFormat="false" ht="30" hidden="false" customHeight="true" outlineLevel="0" collapsed="false">
      <c r="A4" s="3" t="s">
        <v>2</v>
      </c>
      <c r="B4" s="3"/>
      <c r="C4" s="3"/>
      <c r="D4" s="3"/>
    </row>
    <row r="6" customFormat="false" ht="15" hidden="false" customHeight="false" outlineLevel="0" collapsed="false">
      <c r="A6" s="4" t="s">
        <v>3</v>
      </c>
      <c r="B6" s="4" t="s">
        <v>4</v>
      </c>
    </row>
    <row r="7" customFormat="false" ht="15" hidden="false" customHeight="false" outlineLevel="0" collapsed="false">
      <c r="A7" s="5" t="s">
        <v>5</v>
      </c>
      <c r="B7" s="5" t="s">
        <v>6</v>
      </c>
      <c r="C7" s="6"/>
      <c r="D7" s="6"/>
    </row>
    <row r="8" customFormat="false" ht="15" hidden="false" customHeight="false" outlineLevel="0" collapsed="false">
      <c r="A8" s="5" t="s">
        <v>7</v>
      </c>
      <c r="B8" s="5" t="s">
        <v>8</v>
      </c>
      <c r="C8" s="6"/>
      <c r="D8" s="6"/>
    </row>
    <row r="9" customFormat="false" ht="15" hidden="false" customHeight="false" outlineLevel="0" collapsed="false">
      <c r="A9" s="5" t="s">
        <v>9</v>
      </c>
      <c r="B9" s="5" t="s">
        <v>10</v>
      </c>
      <c r="C9" s="6"/>
      <c r="D9" s="6"/>
    </row>
    <row r="10" customFormat="false" ht="15" hidden="false" customHeight="false" outlineLevel="0" collapsed="false">
      <c r="A10" s="5" t="s">
        <v>11</v>
      </c>
      <c r="B10" s="5" t="s">
        <v>12</v>
      </c>
      <c r="C10" s="6"/>
      <c r="D10" s="6"/>
    </row>
    <row r="11" customFormat="false" ht="23.85" hidden="false" customHeight="false" outlineLevel="0" collapsed="false">
      <c r="A11" s="5" t="s">
        <v>13</v>
      </c>
      <c r="B11" s="5" t="s">
        <v>14</v>
      </c>
      <c r="C11" s="6"/>
      <c r="D11" s="6"/>
    </row>
    <row r="12" customFormat="false" ht="15" hidden="false" customHeight="false" outlineLevel="0" collapsed="false">
      <c r="A12" s="5" t="s">
        <v>15</v>
      </c>
      <c r="B12" s="5" t="s">
        <v>16</v>
      </c>
      <c r="C12" s="6"/>
      <c r="D12" s="6"/>
    </row>
    <row r="13" customFormat="false" ht="15" hidden="false" customHeight="false" outlineLevel="0" collapsed="false">
      <c r="A13" s="5" t="s">
        <v>17</v>
      </c>
      <c r="B13" s="5" t="s">
        <v>18</v>
      </c>
      <c r="C13" s="6"/>
      <c r="D13" s="6"/>
    </row>
    <row r="14" customFormat="false" ht="23.85" hidden="false" customHeight="false" outlineLevel="0" collapsed="false">
      <c r="A14" s="5" t="s">
        <v>19</v>
      </c>
      <c r="B14" s="5" t="s">
        <v>20</v>
      </c>
      <c r="C14" s="6"/>
      <c r="D14" s="6"/>
    </row>
    <row r="15" customFormat="false" ht="15" hidden="false" customHeight="false" outlineLevel="0" collapsed="false">
      <c r="A15" s="5" t="s">
        <v>21</v>
      </c>
      <c r="B15" s="5" t="s">
        <v>22</v>
      </c>
      <c r="C15" s="6"/>
      <c r="D15" s="6"/>
    </row>
    <row r="16" customFormat="false" ht="15" hidden="false" customHeight="false" outlineLevel="0" collapsed="false">
      <c r="A16" s="5" t="s">
        <v>23</v>
      </c>
      <c r="B16" s="5" t="s">
        <v>24</v>
      </c>
      <c r="C16" s="6"/>
      <c r="D16" s="6"/>
    </row>
    <row r="17" customFormat="false" ht="15" hidden="false" customHeight="false" outlineLevel="0" collapsed="false">
      <c r="A17" s="5" t="s">
        <v>25</v>
      </c>
      <c r="B17" s="5" t="s">
        <v>26</v>
      </c>
      <c r="C17" s="6"/>
      <c r="D17" s="6"/>
    </row>
    <row r="18" customFormat="false" ht="15" hidden="false" customHeight="false" outlineLevel="0" collapsed="false">
      <c r="A18" s="6"/>
      <c r="B18" s="6"/>
      <c r="C18" s="6"/>
      <c r="D18" s="6"/>
    </row>
    <row r="19" customFormat="false" ht="15" hidden="false" customHeight="false" outlineLevel="0" collapsed="false">
      <c r="A19" s="7" t="s">
        <v>27</v>
      </c>
      <c r="B19" s="6"/>
      <c r="C19" s="6"/>
      <c r="D19" s="6"/>
    </row>
    <row r="20" customFormat="false" ht="60" hidden="false" customHeight="true" outlineLevel="0" collapsed="false">
      <c r="A20" s="8" t="s">
        <v>28</v>
      </c>
      <c r="B20" s="8"/>
      <c r="C20" s="8"/>
      <c r="D20" s="8"/>
    </row>
    <row r="21" customFormat="false" ht="15" hidden="false" customHeight="false" outlineLevel="0" collapsed="false">
      <c r="A21" s="6"/>
      <c r="B21" s="6"/>
      <c r="C21" s="6"/>
      <c r="D21" s="6"/>
    </row>
    <row r="22" customFormat="false" ht="15" hidden="false" customHeight="false" outlineLevel="0" collapsed="false">
      <c r="A22" s="9" t="s">
        <v>29</v>
      </c>
      <c r="B22" s="9" t="s">
        <v>30</v>
      </c>
      <c r="C22" s="6"/>
      <c r="D22" s="6"/>
    </row>
    <row r="23" customFormat="false" ht="15" hidden="false" customHeight="false" outlineLevel="0" collapsed="false">
      <c r="A23" s="5" t="s">
        <v>31</v>
      </c>
      <c r="B23" s="5" t="s">
        <v>32</v>
      </c>
      <c r="C23" s="6"/>
      <c r="D23" s="6"/>
    </row>
    <row r="24" customFormat="false" ht="15" hidden="false" customHeight="false" outlineLevel="0" collapsed="false">
      <c r="A24" s="5" t="s">
        <v>33</v>
      </c>
      <c r="B24" s="5" t="s">
        <v>34</v>
      </c>
      <c r="C24" s="6"/>
      <c r="D24" s="6"/>
    </row>
    <row r="25" customFormat="false" ht="15" hidden="false" customHeight="false" outlineLevel="0" collapsed="false">
      <c r="A25" s="5" t="s">
        <v>35</v>
      </c>
      <c r="B25" s="5" t="s">
        <v>36</v>
      </c>
      <c r="C25" s="6"/>
      <c r="D25" s="6"/>
    </row>
    <row r="26" customFormat="false" ht="15" hidden="false" customHeight="false" outlineLevel="0" collapsed="false">
      <c r="A26" s="5" t="s">
        <v>37</v>
      </c>
      <c r="B26" s="5" t="s">
        <v>38</v>
      </c>
      <c r="C26" s="6"/>
      <c r="D26" s="6"/>
    </row>
    <row r="27" customFormat="false" ht="15" hidden="false" customHeight="false" outlineLevel="0" collapsed="false">
      <c r="A27" s="5" t="s">
        <v>39</v>
      </c>
      <c r="B27" s="5" t="s">
        <v>40</v>
      </c>
      <c r="C27" s="6"/>
      <c r="D27" s="6"/>
    </row>
    <row r="28" customFormat="false" ht="15" hidden="false" customHeight="false" outlineLevel="0" collapsed="false">
      <c r="A28" s="5" t="s">
        <v>41</v>
      </c>
      <c r="B28" s="5" t="s">
        <v>42</v>
      </c>
      <c r="C28" s="6"/>
      <c r="D28" s="6"/>
    </row>
    <row r="29" customFormat="false" ht="15" hidden="false" customHeight="false" outlineLevel="0" collapsed="false">
      <c r="A29" s="5" t="s">
        <v>43</v>
      </c>
      <c r="B29" s="5" t="s">
        <v>44</v>
      </c>
      <c r="C29" s="6"/>
      <c r="D29" s="6"/>
    </row>
    <row r="30" customFormat="false" ht="15" hidden="false" customHeight="false" outlineLevel="0" collapsed="false">
      <c r="A30" s="5" t="s">
        <v>45</v>
      </c>
      <c r="B30" s="5" t="s">
        <v>46</v>
      </c>
      <c r="C30" s="6"/>
      <c r="D30" s="6"/>
    </row>
    <row r="31" customFormat="false" ht="15" hidden="false" customHeight="false" outlineLevel="0" collapsed="false">
      <c r="A31" s="5" t="s">
        <v>47</v>
      </c>
      <c r="B31" s="5" t="s">
        <v>48</v>
      </c>
      <c r="C31" s="6"/>
      <c r="D31" s="6"/>
    </row>
    <row r="32" customFormat="false" ht="15" hidden="false" customHeight="false" outlineLevel="0" collapsed="false">
      <c r="A32" s="5" t="s">
        <v>49</v>
      </c>
      <c r="B32" s="5" t="s">
        <v>50</v>
      </c>
      <c r="C32" s="6"/>
      <c r="D32" s="6"/>
    </row>
    <row r="33" customFormat="false" ht="15" hidden="false" customHeight="false" outlineLevel="0" collapsed="false">
      <c r="A33" s="5" t="s">
        <v>51</v>
      </c>
      <c r="B33" s="5" t="s">
        <v>52</v>
      </c>
      <c r="C33" s="6"/>
      <c r="D33" s="6"/>
    </row>
    <row r="34" customFormat="false" ht="15" hidden="false" customHeight="false" outlineLevel="0" collapsed="false">
      <c r="A34" s="5" t="s">
        <v>53</v>
      </c>
      <c r="B34" s="5" t="s">
        <v>54</v>
      </c>
      <c r="C34" s="6"/>
      <c r="D34" s="6"/>
    </row>
    <row r="35" customFormat="false" ht="15" hidden="false" customHeight="false" outlineLevel="0" collapsed="false">
      <c r="A35" s="5" t="s">
        <v>55</v>
      </c>
      <c r="B35" s="5" t="s">
        <v>56</v>
      </c>
      <c r="C35" s="6"/>
      <c r="D35" s="6"/>
    </row>
  </sheetData>
  <mergeCells count="2">
    <mergeCell ref="A4:D4"/>
    <mergeCell ref="A20:D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30"/>
    <col collapsed="false" customWidth="true" hidden="false" outlineLevel="0" max="4" min="4" style="0" width="40"/>
    <col collapsed="false" customWidth="true" hidden="false" outlineLevel="0" max="5" min="5" style="0" width="12"/>
    <col collapsed="false" customWidth="true" hidden="false" outlineLevel="0" max="6" min="6" style="0" width="13"/>
    <col collapsed="false" customWidth="true" hidden="false" outlineLevel="0" max="7" min="7" style="0" width="22"/>
    <col collapsed="false" customWidth="true" hidden="false" outlineLevel="0" max="8" min="8" style="0" width="12"/>
    <col collapsed="false" customWidth="true" hidden="false" outlineLevel="0" max="9" min="9" style="0" width="10"/>
    <col collapsed="false" customWidth="true" hidden="false" outlineLevel="0" max="10" min="10" style="0" width="60"/>
    <col collapsed="false" customWidth="true" hidden="false" outlineLevel="0" max="11" min="11" style="0" width="32"/>
    <col collapsed="false" customWidth="true" hidden="false" outlineLevel="0" max="12" min="12" style="0" width="34"/>
  </cols>
  <sheetData>
    <row r="1" customFormat="false" ht="19.7" hidden="false" customHeight="false" outlineLevel="0" collapsed="false">
      <c r="A1" s="1" t="s">
        <v>57</v>
      </c>
    </row>
    <row r="2" customFormat="false" ht="15" hidden="false" customHeight="false" outlineLevel="0" collapsed="false">
      <c r="A2" s="2" t="s">
        <v>58</v>
      </c>
    </row>
    <row r="4" customFormat="false" ht="15" hidden="false" customHeight="false" outlineLevel="0" collapsed="false">
      <c r="A4" s="10" t="s">
        <v>59</v>
      </c>
    </row>
    <row r="5" customFormat="false" ht="15" hidden="false" customHeight="false" outlineLevel="0" collapsed="false">
      <c r="A5" s="4" t="s">
        <v>60</v>
      </c>
      <c r="B5" s="4" t="s">
        <v>4</v>
      </c>
      <c r="C5" s="4" t="s">
        <v>61</v>
      </c>
    </row>
    <row r="6" customFormat="false" ht="15" hidden="false" customHeight="false" outlineLevel="0" collapsed="false">
      <c r="A6" s="11" t="s">
        <v>62</v>
      </c>
      <c r="B6" s="12" t="n">
        <v>856293</v>
      </c>
      <c r="C6" s="11" t="s">
        <v>63</v>
      </c>
    </row>
    <row r="7" customFormat="false" ht="15" hidden="false" customHeight="false" outlineLevel="0" collapsed="false">
      <c r="A7" s="11" t="s">
        <v>64</v>
      </c>
      <c r="B7" s="13" t="n">
        <v>88.42</v>
      </c>
      <c r="C7" s="11" t="s">
        <v>65</v>
      </c>
    </row>
    <row r="8" customFormat="false" ht="15" hidden="false" customHeight="false" outlineLevel="0" collapsed="false">
      <c r="A8" s="11" t="s">
        <v>66</v>
      </c>
      <c r="B8" s="14" t="n">
        <v>21332.42</v>
      </c>
      <c r="C8" s="11" t="s">
        <v>67</v>
      </c>
    </row>
    <row r="9" customFormat="false" ht="15" hidden="false" customHeight="false" outlineLevel="0" collapsed="false">
      <c r="A9" s="11" t="s">
        <v>68</v>
      </c>
      <c r="B9" s="14" t="n">
        <v>71190</v>
      </c>
      <c r="C9" s="11" t="s">
        <v>69</v>
      </c>
    </row>
    <row r="10" customFormat="false" ht="15" hidden="false" customHeight="false" outlineLevel="0" collapsed="false">
      <c r="A10" s="11" t="s">
        <v>70</v>
      </c>
      <c r="B10" s="11" t="s">
        <v>71</v>
      </c>
      <c r="C10" s="11" t="s">
        <v>72</v>
      </c>
    </row>
    <row r="12" customFormat="false" ht="15" hidden="false" customHeight="false" outlineLevel="0" collapsed="false">
      <c r="A12" s="10" t="s">
        <v>73</v>
      </c>
    </row>
    <row r="13" customFormat="false" ht="23.85" hidden="false" customHeight="false" outlineLevel="0" collapsed="false">
      <c r="A13" s="4" t="s">
        <v>74</v>
      </c>
      <c r="B13" s="4" t="s">
        <v>75</v>
      </c>
      <c r="C13" s="4" t="s">
        <v>76</v>
      </c>
      <c r="D13" s="4" t="s">
        <v>77</v>
      </c>
      <c r="E13" s="4" t="s">
        <v>78</v>
      </c>
      <c r="F13" s="4" t="s">
        <v>79</v>
      </c>
      <c r="G13" s="4" t="s">
        <v>80</v>
      </c>
      <c r="H13" s="4" t="s">
        <v>81</v>
      </c>
      <c r="I13" s="4" t="s">
        <v>82</v>
      </c>
      <c r="J13" s="4" t="s">
        <v>83</v>
      </c>
      <c r="K13" s="4" t="s">
        <v>84</v>
      </c>
      <c r="L13" s="4" t="s">
        <v>85</v>
      </c>
    </row>
    <row r="14" customFormat="false" ht="35.05" hidden="false" customHeight="false" outlineLevel="0" collapsed="false">
      <c r="A14" s="5" t="s">
        <v>86</v>
      </c>
      <c r="B14" s="5" t="s">
        <v>87</v>
      </c>
      <c r="C14" s="5" t="s">
        <v>88</v>
      </c>
      <c r="D14" s="5" t="s">
        <v>89</v>
      </c>
      <c r="E14" s="15" t="n">
        <v>21332.42</v>
      </c>
      <c r="F14" s="16" t="n">
        <v>1886213</v>
      </c>
      <c r="G14" s="5" t="s">
        <v>90</v>
      </c>
      <c r="H14" s="17"/>
      <c r="I14" s="17" t="s">
        <v>91</v>
      </c>
      <c r="J14" s="5" t="s">
        <v>92</v>
      </c>
      <c r="K14" s="5"/>
      <c r="L14" s="5" t="s">
        <v>93</v>
      </c>
    </row>
    <row r="15" customFormat="false" ht="35.05" hidden="false" customHeight="false" outlineLevel="0" collapsed="false">
      <c r="A15" s="5" t="s">
        <v>94</v>
      </c>
      <c r="B15" s="5" t="s">
        <v>95</v>
      </c>
      <c r="C15" s="5" t="s">
        <v>96</v>
      </c>
      <c r="D15" s="5" t="s">
        <v>97</v>
      </c>
      <c r="E15" s="15" t="n">
        <v>23800</v>
      </c>
      <c r="F15" s="16" t="n">
        <v>2104396</v>
      </c>
      <c r="G15" s="5" t="s">
        <v>98</v>
      </c>
      <c r="H15" s="18" t="n">
        <v>93</v>
      </c>
      <c r="I15" s="18" t="s">
        <v>99</v>
      </c>
      <c r="J15" s="5" t="s">
        <v>100</v>
      </c>
      <c r="K15" s="5"/>
      <c r="L15" s="5" t="s">
        <v>101</v>
      </c>
    </row>
    <row r="16" customFormat="false" ht="35.05" hidden="false" customHeight="false" outlineLevel="0" collapsed="false">
      <c r="A16" s="5" t="s">
        <v>102</v>
      </c>
      <c r="B16" s="5" t="s">
        <v>95</v>
      </c>
      <c r="C16" s="5" t="s">
        <v>103</v>
      </c>
      <c r="D16" s="5" t="s">
        <v>104</v>
      </c>
      <c r="E16" s="15" t="n">
        <v>9700</v>
      </c>
      <c r="F16" s="16" t="n">
        <v>0</v>
      </c>
      <c r="G16" s="5" t="s">
        <v>105</v>
      </c>
      <c r="H16" s="19" t="n">
        <v>67</v>
      </c>
      <c r="I16" s="19" t="s">
        <v>106</v>
      </c>
      <c r="J16" s="5" t="s">
        <v>107</v>
      </c>
      <c r="K16" s="5" t="s">
        <v>108</v>
      </c>
      <c r="L16" s="5" t="s">
        <v>109</v>
      </c>
    </row>
    <row r="17" customFormat="false" ht="35.05" hidden="false" customHeight="false" outlineLevel="0" collapsed="false">
      <c r="A17" s="5" t="s">
        <v>110</v>
      </c>
      <c r="B17" s="5" t="s">
        <v>111</v>
      </c>
      <c r="C17" s="5" t="s">
        <v>112</v>
      </c>
      <c r="D17" s="5" t="s">
        <v>113</v>
      </c>
      <c r="E17" s="15"/>
      <c r="F17" s="16" t="n">
        <v>420000</v>
      </c>
      <c r="G17" s="5" t="s">
        <v>114</v>
      </c>
      <c r="H17" s="20" t="n">
        <v>17</v>
      </c>
      <c r="I17" s="20" t="s">
        <v>115</v>
      </c>
      <c r="J17" s="5" t="s">
        <v>116</v>
      </c>
      <c r="K17" s="5" t="s">
        <v>117</v>
      </c>
      <c r="L17" s="5" t="s">
        <v>118</v>
      </c>
    </row>
    <row r="18" customFormat="false" ht="35.05" hidden="false" customHeight="false" outlineLevel="0" collapsed="false">
      <c r="A18" s="5" t="s">
        <v>119</v>
      </c>
      <c r="B18" s="5" t="s">
        <v>120</v>
      </c>
      <c r="C18" s="5" t="s">
        <v>121</v>
      </c>
      <c r="D18" s="5" t="s">
        <v>122</v>
      </c>
      <c r="E18" s="15" t="n">
        <v>37690</v>
      </c>
      <c r="F18" s="16" t="n">
        <v>3332550</v>
      </c>
      <c r="G18" s="5" t="s">
        <v>123</v>
      </c>
      <c r="H18" s="17"/>
      <c r="I18" s="17" t="s">
        <v>91</v>
      </c>
      <c r="J18" s="5" t="s">
        <v>124</v>
      </c>
      <c r="K18" s="5"/>
      <c r="L18" s="5" t="s">
        <v>125</v>
      </c>
    </row>
    <row r="19" customFormat="false" ht="35.05" hidden="false" customHeight="false" outlineLevel="0" collapsed="false">
      <c r="A19" s="5" t="s">
        <v>126</v>
      </c>
      <c r="B19" s="5" t="s">
        <v>95</v>
      </c>
      <c r="C19" s="5" t="s">
        <v>127</v>
      </c>
      <c r="D19" s="5" t="s">
        <v>128</v>
      </c>
      <c r="E19" s="15" t="n">
        <v>6300</v>
      </c>
      <c r="F19" s="16" t="n">
        <v>557046</v>
      </c>
      <c r="G19" s="5" t="s">
        <v>129</v>
      </c>
      <c r="H19" s="19" t="n">
        <v>67</v>
      </c>
      <c r="I19" s="19" t="s">
        <v>106</v>
      </c>
      <c r="J19" s="5" t="s">
        <v>130</v>
      </c>
      <c r="K19" s="5" t="s">
        <v>131</v>
      </c>
      <c r="L19" s="5" t="s">
        <v>132</v>
      </c>
    </row>
    <row r="21" customFormat="false" ht="15" hidden="false" customHeight="false" outlineLevel="0" collapsed="false">
      <c r="A21" s="10" t="s">
        <v>133</v>
      </c>
    </row>
    <row r="22" customFormat="false" ht="15" hidden="false" customHeight="false" outlineLevel="0" collapsed="false">
      <c r="A22" s="4" t="s">
        <v>82</v>
      </c>
      <c r="B22" s="4" t="s">
        <v>134</v>
      </c>
      <c r="C22" s="4" t="s">
        <v>135</v>
      </c>
    </row>
    <row r="23" customFormat="false" ht="15" hidden="false" customHeight="false" outlineLevel="0" collapsed="false">
      <c r="A23" s="21" t="s">
        <v>99</v>
      </c>
      <c r="B23" s="11" t="s">
        <v>136</v>
      </c>
      <c r="C23" s="11" t="s">
        <v>137</v>
      </c>
    </row>
    <row r="24" customFormat="false" ht="15" hidden="false" customHeight="false" outlineLevel="0" collapsed="false">
      <c r="A24" s="22" t="s">
        <v>106</v>
      </c>
      <c r="B24" s="11" t="s">
        <v>138</v>
      </c>
      <c r="C24" s="11" t="s">
        <v>139</v>
      </c>
    </row>
    <row r="25" customFormat="false" ht="15" hidden="false" customHeight="false" outlineLevel="0" collapsed="false">
      <c r="A25" s="23" t="s">
        <v>115</v>
      </c>
      <c r="B25" s="11" t="s">
        <v>140</v>
      </c>
      <c r="C25" s="11" t="s">
        <v>141</v>
      </c>
    </row>
    <row r="26" customFormat="false" ht="15" hidden="false" customHeight="false" outlineLevel="0" collapsed="false">
      <c r="A26" s="24" t="s">
        <v>91</v>
      </c>
      <c r="B26" s="11" t="s">
        <v>142</v>
      </c>
      <c r="C26" s="11" t="s">
        <v>143</v>
      </c>
    </row>
    <row r="29" customFormat="false" ht="15" hidden="false" customHeight="false" outlineLevel="0" collapsed="false">
      <c r="A29" s="10" t="s">
        <v>144</v>
      </c>
    </row>
    <row r="30" customFormat="false" ht="15" hidden="false" customHeight="false" outlineLevel="0" collapsed="false">
      <c r="A30" s="4" t="s">
        <v>145</v>
      </c>
      <c r="B30" s="4" t="s">
        <v>146</v>
      </c>
    </row>
    <row r="31" customFormat="false" ht="15" hidden="false" customHeight="false" outlineLevel="0" collapsed="false">
      <c r="A31" s="11" t="s">
        <v>147</v>
      </c>
      <c r="B31" s="11" t="s">
        <v>148</v>
      </c>
    </row>
    <row r="32" customFormat="false" ht="15" hidden="false" customHeight="false" outlineLevel="0" collapsed="false">
      <c r="A32" s="11" t="s">
        <v>149</v>
      </c>
      <c r="B32" s="11" t="s">
        <v>94</v>
      </c>
    </row>
    <row r="33" customFormat="false" ht="15" hidden="false" customHeight="false" outlineLevel="0" collapsed="false">
      <c r="A33" s="11" t="s">
        <v>150</v>
      </c>
      <c r="B33" s="11" t="s">
        <v>151</v>
      </c>
    </row>
    <row r="34" customFormat="false" ht="15" hidden="false" customHeight="false" outlineLevel="0" collapsed="false">
      <c r="A34" s="11" t="s">
        <v>152</v>
      </c>
      <c r="B34" s="11" t="s">
        <v>110</v>
      </c>
    </row>
    <row r="35" customFormat="false" ht="15" hidden="false" customHeight="false" outlineLevel="0" collapsed="false">
      <c r="A35" s="11" t="s">
        <v>153</v>
      </c>
      <c r="B35" s="11" t="s">
        <v>102</v>
      </c>
    </row>
    <row r="36" customFormat="false" ht="15" hidden="false" customHeight="false" outlineLevel="0" collapsed="false">
      <c r="A36" s="11" t="s">
        <v>154</v>
      </c>
      <c r="B36" s="11" t="s">
        <v>155</v>
      </c>
    </row>
    <row r="37" customFormat="false" ht="15" hidden="false" customHeight="false" outlineLevel="0" collapsed="false">
      <c r="A37" s="11" t="s">
        <v>156</v>
      </c>
      <c r="B37" s="11" t="s">
        <v>157</v>
      </c>
    </row>
    <row r="38" customFormat="false" ht="15" hidden="false" customHeight="false" outlineLevel="0" collapsed="false">
      <c r="A38" s="11" t="s">
        <v>158</v>
      </c>
      <c r="B38" s="11" t="s">
        <v>159</v>
      </c>
    </row>
    <row r="39" customFormat="false" ht="15" hidden="false" customHeight="false" outlineLevel="0" collapsed="false">
      <c r="A39" s="11" t="s">
        <v>160</v>
      </c>
      <c r="B39" s="11" t="s">
        <v>161</v>
      </c>
    </row>
    <row r="40" customFormat="false" ht="15" hidden="false" customHeight="false" outlineLevel="0" collapsed="false">
      <c r="A40" s="11" t="s">
        <v>162</v>
      </c>
      <c r="B40" s="11" t="s">
        <v>163</v>
      </c>
    </row>
    <row r="41" customFormat="false" ht="15" hidden="false" customHeight="false" outlineLevel="0" collapsed="false">
      <c r="A41" s="11" t="s">
        <v>164</v>
      </c>
      <c r="B41" s="11" t="s">
        <v>165</v>
      </c>
    </row>
    <row r="42" customFormat="false" ht="15" hidden="false" customHeight="false" outlineLevel="0" collapsed="false">
      <c r="A42" s="11" t="s">
        <v>166</v>
      </c>
      <c r="B42" s="11" t="s">
        <v>167</v>
      </c>
    </row>
    <row r="43" customFormat="false" ht="15" hidden="false" customHeight="false" outlineLevel="0" collapsed="false">
      <c r="A43" s="11" t="s">
        <v>168</v>
      </c>
      <c r="B43" s="11" t="s">
        <v>169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8"/>
    <col collapsed="false" customWidth="true" hidden="false" outlineLevel="0" max="3" min="3" style="0" width="30"/>
  </cols>
  <sheetData>
    <row r="1" customFormat="false" ht="19.7" hidden="false" customHeight="false" outlineLevel="0" collapsed="false">
      <c r="A1" s="1" t="s">
        <v>170</v>
      </c>
    </row>
    <row r="2" customFormat="false" ht="15" hidden="false" customHeight="false" outlineLevel="0" collapsed="false">
      <c r="A2" s="2" t="s">
        <v>171</v>
      </c>
    </row>
    <row r="3" customFormat="false" ht="15" hidden="false" customHeight="false" outlineLevel="0" collapsed="false">
      <c r="A3" s="4" t="s">
        <v>172</v>
      </c>
      <c r="B3" s="4" t="s">
        <v>4</v>
      </c>
      <c r="C3" s="4" t="s">
        <v>61</v>
      </c>
    </row>
    <row r="4" customFormat="false" ht="15" hidden="false" customHeight="false" outlineLevel="0" collapsed="false">
      <c r="A4" s="11" t="s">
        <v>173</v>
      </c>
      <c r="B4" s="25" t="n">
        <v>46266</v>
      </c>
      <c r="C4" s="2" t="s">
        <v>174</v>
      </c>
    </row>
    <row r="5" customFormat="false" ht="15" hidden="false" customHeight="false" outlineLevel="0" collapsed="false">
      <c r="A5" s="11" t="s">
        <v>175</v>
      </c>
      <c r="B5" s="26" t="n">
        <v>22</v>
      </c>
      <c r="C5" s="2" t="s">
        <v>174</v>
      </c>
    </row>
    <row r="6" customFormat="false" ht="15" hidden="false" customHeight="false" outlineLevel="0" collapsed="false">
      <c r="A6" s="11" t="s">
        <v>176</v>
      </c>
      <c r="B6" s="14" t="n">
        <f aca="false">SUMIFS(USD_Outflows!$D:$D,USD_Outflows!$A:$A,"&lt;"&amp;B4)</f>
        <v>192114.33</v>
      </c>
      <c r="C6" s="2"/>
    </row>
    <row r="7" customFormat="false" ht="15" hidden="false" customHeight="false" outlineLevel="0" collapsed="false">
      <c r="A7" s="11" t="s">
        <v>177</v>
      </c>
      <c r="B7" s="12" t="n">
        <f aca="false">SUMIFS(USD_Outflows!$I:$I,USD_Outflows!$A:$A,"&lt;"&amp;B4)</f>
        <v>16914283.12</v>
      </c>
      <c r="C7" s="2"/>
    </row>
    <row r="8" customFormat="false" ht="15" hidden="false" customHeight="false" outlineLevel="0" collapsed="false">
      <c r="A8" s="11" t="s">
        <v>178</v>
      </c>
      <c r="B8" s="12" t="n">
        <f aca="false">SUMIFS(USD_Outflows!$J:$J,USD_Outflows!$A:$A,"&lt;"&amp;B4)</f>
        <v>390488.95</v>
      </c>
      <c r="C8" s="2"/>
    </row>
    <row r="9" customFormat="false" ht="15" hidden="false" customHeight="false" outlineLevel="0" collapsed="false">
      <c r="A9" s="11" t="s">
        <v>179</v>
      </c>
      <c r="B9" s="12" t="n">
        <f aca="false">B8/B5*12</f>
        <v>212993.972727273</v>
      </c>
      <c r="C9" s="2"/>
    </row>
    <row r="10" customFormat="false" ht="15" hidden="false" customHeight="false" outlineLevel="0" collapsed="false">
      <c r="A10" s="11" t="s">
        <v>180</v>
      </c>
      <c r="B10" s="27" t="n">
        <f aca="false">B8/B7</f>
        <v>0.0230863434902703</v>
      </c>
      <c r="C10" s="2"/>
    </row>
    <row r="11" customFormat="false" ht="15" hidden="false" customHeight="false" outlineLevel="0" collapsed="false">
      <c r="A11" s="11" t="s">
        <v>181</v>
      </c>
      <c r="B11" s="14" t="n">
        <f aca="false">SUMIFS(USD_Outflows!$D:$D,USD_Outflows!$A:$A,"&gt;="&amp;B4,USD_Outflows!$G:$G,"EEFC (USD)")</f>
        <v>18857.58</v>
      </c>
      <c r="C11" s="2"/>
    </row>
    <row r="12" customFormat="false" ht="15" hidden="false" customHeight="false" outlineLevel="0" collapsed="false">
      <c r="A12" s="11" t="s">
        <v>182</v>
      </c>
      <c r="B12" s="14" t="n">
        <f aca="false">SUMIFS(USD_Outflows!$D:$D,USD_Outflows!$A:$A,"&gt;="&amp;B4,USD_Outflows!$G:$G,"INR (bought USD)")</f>
        <v>6536.33</v>
      </c>
      <c r="C12" s="2"/>
    </row>
    <row r="14" customFormat="false" ht="30" hidden="false" customHeight="true" outlineLevel="0" collapsed="false">
      <c r="A14" s="28" t="s">
        <v>183</v>
      </c>
      <c r="B14" s="28"/>
      <c r="C14" s="28"/>
    </row>
  </sheetData>
  <mergeCells count="1">
    <mergeCell ref="A14:C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14"/>
    <col collapsed="false" customWidth="true" hidden="false" outlineLevel="0" max="5" min="4" style="0" width="18"/>
    <col collapsed="false" customWidth="true" hidden="false" outlineLevel="0" max="7" min="6" style="0" width="14"/>
    <col collapsed="false" customWidth="true" hidden="false" outlineLevel="0" max="8" min="8" style="0" width="16"/>
    <col collapsed="false" customWidth="true" hidden="false" outlineLevel="0" max="9" min="9" style="0" width="18"/>
    <col collapsed="false" customWidth="true" hidden="false" outlineLevel="0" max="10" min="10" style="0" width="16"/>
  </cols>
  <sheetData>
    <row r="1" customFormat="false" ht="19.7" hidden="false" customHeight="false" outlineLevel="0" collapsed="false">
      <c r="A1" s="1" t="s">
        <v>184</v>
      </c>
    </row>
    <row r="3" customFormat="false" ht="23.85" hidden="false" customHeight="false" outlineLevel="0" collapsed="false">
      <c r="A3" s="4" t="s">
        <v>185</v>
      </c>
      <c r="B3" s="4" t="s">
        <v>186</v>
      </c>
      <c r="C3" s="4" t="s">
        <v>187</v>
      </c>
      <c r="D3" s="4" t="s">
        <v>188</v>
      </c>
      <c r="E3" s="4" t="s">
        <v>189</v>
      </c>
      <c r="F3" s="4" t="s">
        <v>190</v>
      </c>
      <c r="G3" s="4" t="s">
        <v>191</v>
      </c>
      <c r="H3" s="4" t="s">
        <v>192</v>
      </c>
      <c r="I3" s="4" t="s">
        <v>193</v>
      </c>
      <c r="J3" s="4" t="s">
        <v>194</v>
      </c>
    </row>
    <row r="4" customFormat="false" ht="15" hidden="false" customHeight="false" outlineLevel="0" collapsed="false">
      <c r="A4" s="29" t="n">
        <v>45597</v>
      </c>
      <c r="B4" s="30" t="n">
        <f aca="false">MIN(EOMONTH(A4,0),DATE(2026,10,26))</f>
        <v>45626</v>
      </c>
      <c r="C4" s="14" t="n">
        <f aca="false">SUMIFS(Receipts!$F:$F,Receipts!$I:$I,"&gt;="&amp;A4,Receipts!$I:$I,"&lt;="&amp;B4)</f>
        <v>31630</v>
      </c>
      <c r="D4" s="12" t="n">
        <f aca="false">SUMIFS(Conversions!$E:$E,Conversions!$A:$A,"&gt;="&amp;A4,Conversions!$A:$A,"&lt;="&amp;B4)</f>
        <v>2675476.74</v>
      </c>
      <c r="E4" s="12" t="n">
        <f aca="false">SUMIFS(INR_Outflows!$D:$D,INR_Outflows!$A:$A,"&gt;="&amp;A4,INR_Outflows!$A:$A,"&lt;="&amp;B4,INR_Outflows!$B:$B,"&lt;&gt;Sweep to fixed deposit")</f>
        <v>3397785</v>
      </c>
      <c r="F4" s="12" t="n">
        <f aca="false">SUMIFS(INR_Outflows!$D:$D,INR_Outflows!$A:$A,"&gt;="&amp;A4,INR_Outflows!$A:$A,"&lt;="&amp;B4,INR_Outflows!$B:$B,"Sweep to fixed deposit")</f>
        <v>0</v>
      </c>
      <c r="G4" s="14" t="n">
        <f aca="false">SUMIFS(USD_Outflows!$D:$D,USD_Outflows!$A:$A,"&gt;="&amp;A4,USD_Outflows!$A:$A,"&lt;="&amp;B4)</f>
        <v>5036</v>
      </c>
      <c r="H4" s="12" t="n">
        <f aca="false">SUMIFS(USD_Outflows!$J:$J,USD_Outflows!$A:$A,"&gt;="&amp;A4,USD_Outflows!$A:$A,"&lt;="&amp;B4)</f>
        <v>12737.74</v>
      </c>
      <c r="I4" s="12" t="n">
        <f aca="false">INDEX(Daily_Balances!$B:$B,MATCH(B4,Daily_Balances!$A:$A,0))</f>
        <v>6840362.69</v>
      </c>
      <c r="J4" s="14" t="n">
        <f aca="false">INDEX(Daily_Balances!$C:$C,MATCH(B4,Daily_Balances!$A:$A,0))</f>
        <v>0</v>
      </c>
    </row>
    <row r="5" customFormat="false" ht="15" hidden="false" customHeight="false" outlineLevel="0" collapsed="false">
      <c r="A5" s="29" t="n">
        <v>45627</v>
      </c>
      <c r="B5" s="30" t="n">
        <f aca="false">MIN(EOMONTH(A5,0),DATE(2026,10,26))</f>
        <v>45657</v>
      </c>
      <c r="C5" s="14" t="n">
        <f aca="false">SUMIFS(Receipts!$F:$F,Receipts!$I:$I,"&gt;="&amp;A5,Receipts!$I:$I,"&lt;="&amp;B5)</f>
        <v>39770</v>
      </c>
      <c r="D5" s="12" t="n">
        <f aca="false">SUMIFS(Conversions!$E:$E,Conversions!$A:$A,"&gt;="&amp;A5,Conversions!$A:$A,"&lt;="&amp;B5)</f>
        <v>3322702.84</v>
      </c>
      <c r="E5" s="12" t="n">
        <f aca="false">SUMIFS(INR_Outflows!$D:$D,INR_Outflows!$A:$A,"&gt;="&amp;A5,INR_Outflows!$A:$A,"&lt;="&amp;B5,INR_Outflows!$B:$B,"&lt;&gt;Sweep to fixed deposit")</f>
        <v>3847733</v>
      </c>
      <c r="F5" s="12" t="n">
        <f aca="false">SUMIFS(INR_Outflows!$D:$D,INR_Outflows!$A:$A,"&gt;="&amp;A5,INR_Outflows!$A:$A,"&lt;="&amp;B5,INR_Outflows!$B:$B,"Sweep to fixed deposit")</f>
        <v>0</v>
      </c>
      <c r="G5" s="14" t="n">
        <f aca="false">SUMIFS(USD_Outflows!$D:$D,USD_Outflows!$A:$A,"&gt;="&amp;A5,USD_Outflows!$A:$A,"&lt;="&amp;B5)</f>
        <v>5158.9</v>
      </c>
      <c r="H5" s="12" t="n">
        <f aca="false">SUMIFS(USD_Outflows!$J:$J,USD_Outflows!$A:$A,"&gt;="&amp;A5,USD_Outflows!$A:$A,"&lt;="&amp;B5)</f>
        <v>12923.5</v>
      </c>
      <c r="I5" s="12" t="n">
        <f aca="false">INDEX(Daily_Balances!$B:$B,MATCH(B5,Daily_Balances!$A:$A,0))</f>
        <v>5871625.57</v>
      </c>
      <c r="J5" s="14" t="n">
        <f aca="false">INDEX(Daily_Balances!$C:$C,MATCH(B5,Daily_Balances!$A:$A,0))</f>
        <v>0</v>
      </c>
    </row>
    <row r="6" customFormat="false" ht="15" hidden="false" customHeight="false" outlineLevel="0" collapsed="false">
      <c r="A6" s="29" t="n">
        <v>45658</v>
      </c>
      <c r="B6" s="30" t="n">
        <f aca="false">MIN(EOMONTH(A6,0),DATE(2026,10,26))</f>
        <v>45688</v>
      </c>
      <c r="C6" s="14" t="n">
        <f aca="false">SUMIFS(Receipts!$F:$F,Receipts!$I:$I,"&gt;="&amp;A6,Receipts!$I:$I,"&lt;="&amp;B6)</f>
        <v>94990</v>
      </c>
      <c r="D6" s="12" t="n">
        <f aca="false">SUMIFS(Conversions!$E:$E,Conversions!$A:$A,"&gt;="&amp;A6,Conversions!$A:$A,"&lt;="&amp;B6)</f>
        <v>7945500.57</v>
      </c>
      <c r="E6" s="12" t="n">
        <f aca="false">SUMIFS(INR_Outflows!$D:$D,INR_Outflows!$A:$A,"&gt;="&amp;A6,INR_Outflows!$A:$A,"&lt;="&amp;B6,INR_Outflows!$B:$B,"&lt;&gt;Sweep to fixed deposit")</f>
        <v>3380673</v>
      </c>
      <c r="F6" s="12" t="n">
        <f aca="false">SUMIFS(INR_Outflows!$D:$D,INR_Outflows!$A:$A,"&gt;="&amp;A6,INR_Outflows!$A:$A,"&lt;="&amp;B6,INR_Outflows!$B:$B,"Sweep to fixed deposit")</f>
        <v>0</v>
      </c>
      <c r="G6" s="14" t="n">
        <f aca="false">SUMIFS(USD_Outflows!$D:$D,USD_Outflows!$A:$A,"&gt;="&amp;A6,USD_Outflows!$A:$A,"&lt;="&amp;B6)</f>
        <v>14211</v>
      </c>
      <c r="H6" s="12" t="n">
        <f aca="false">SUMIFS(USD_Outflows!$J:$J,USD_Outflows!$A:$A,"&gt;="&amp;A6,USD_Outflows!$A:$A,"&lt;="&amp;B6)</f>
        <v>21042.38</v>
      </c>
      <c r="I6" s="12" t="n">
        <f aca="false">INDEX(Daily_Balances!$B:$B,MATCH(B6,Daily_Balances!$A:$A,0))</f>
        <v>9227853.32</v>
      </c>
      <c r="J6" s="14" t="n">
        <f aca="false">INDEX(Daily_Balances!$C:$C,MATCH(B6,Daily_Balances!$A:$A,0))</f>
        <v>0</v>
      </c>
    </row>
    <row r="7" customFormat="false" ht="15" hidden="false" customHeight="false" outlineLevel="0" collapsed="false">
      <c r="A7" s="29" t="n">
        <v>45689</v>
      </c>
      <c r="B7" s="30" t="n">
        <f aca="false">MIN(EOMONTH(A7,0),DATE(2026,10,26))</f>
        <v>45716</v>
      </c>
      <c r="C7" s="14" t="n">
        <f aca="false">SUMIFS(Receipts!$F:$F,Receipts!$I:$I,"&gt;="&amp;A7,Receipts!$I:$I,"&lt;="&amp;B7)</f>
        <v>43430</v>
      </c>
      <c r="D7" s="12" t="n">
        <f aca="false">SUMIFS(Conversions!$E:$E,Conversions!$A:$A,"&gt;="&amp;A7,Conversions!$A:$A,"&lt;="&amp;B7)</f>
        <v>3668130.81</v>
      </c>
      <c r="E7" s="12" t="n">
        <f aca="false">SUMIFS(INR_Outflows!$D:$D,INR_Outflows!$A:$A,"&gt;="&amp;A7,INR_Outflows!$A:$A,"&lt;="&amp;B7,INR_Outflows!$B:$B,"&lt;&gt;Sweep to fixed deposit")</f>
        <v>3348618</v>
      </c>
      <c r="F7" s="12" t="n">
        <f aca="false">SUMIFS(INR_Outflows!$D:$D,INR_Outflows!$A:$A,"&gt;="&amp;A7,INR_Outflows!$A:$A,"&lt;="&amp;B7,INR_Outflows!$B:$B,"Sweep to fixed deposit")</f>
        <v>0</v>
      </c>
      <c r="G7" s="14" t="n">
        <f aca="false">SUMIFS(USD_Outflows!$D:$D,USD_Outflows!$A:$A,"&gt;="&amp;A7,USD_Outflows!$A:$A,"&lt;="&amp;B7)</f>
        <v>4979.35</v>
      </c>
      <c r="H7" s="12" t="n">
        <f aca="false">SUMIFS(USD_Outflows!$J:$J,USD_Outflows!$A:$A,"&gt;="&amp;A7,USD_Outflows!$A:$A,"&lt;="&amp;B7)</f>
        <v>12588.91</v>
      </c>
      <c r="I7" s="12" t="n">
        <f aca="false">INDEX(Daily_Balances!$B:$B,MATCH(B7,Daily_Balances!$A:$A,0))</f>
        <v>9115147.02</v>
      </c>
      <c r="J7" s="14" t="n">
        <f aca="false">INDEX(Daily_Balances!$C:$C,MATCH(B7,Daily_Balances!$A:$A,0))</f>
        <v>0</v>
      </c>
    </row>
    <row r="8" customFormat="false" ht="15" hidden="false" customHeight="false" outlineLevel="0" collapsed="false">
      <c r="A8" s="29" t="n">
        <v>45717</v>
      </c>
      <c r="B8" s="30" t="n">
        <f aca="false">MIN(EOMONTH(A8,0),DATE(2026,10,26))</f>
        <v>45747</v>
      </c>
      <c r="C8" s="14" t="n">
        <f aca="false">SUMIFS(Receipts!$F:$F,Receipts!$I:$I,"&gt;="&amp;A8,Receipts!$I:$I,"&lt;="&amp;B8)</f>
        <v>35290</v>
      </c>
      <c r="D8" s="12" t="n">
        <f aca="false">SUMIFS(Conversions!$E:$E,Conversions!$A:$A,"&gt;="&amp;A8,Conversions!$A:$A,"&lt;="&amp;B8)</f>
        <v>2987297.06</v>
      </c>
      <c r="E8" s="12" t="n">
        <f aca="false">SUMIFS(INR_Outflows!$D:$D,INR_Outflows!$A:$A,"&gt;="&amp;A8,INR_Outflows!$A:$A,"&lt;="&amp;B8,INR_Outflows!$B:$B,"&lt;&gt;Sweep to fixed deposit")</f>
        <v>4261366</v>
      </c>
      <c r="F8" s="12" t="n">
        <f aca="false">SUMIFS(INR_Outflows!$D:$D,INR_Outflows!$A:$A,"&gt;="&amp;A8,INR_Outflows!$A:$A,"&lt;="&amp;B8,INR_Outflows!$B:$B,"Sweep to fixed deposit")</f>
        <v>0</v>
      </c>
      <c r="G8" s="14" t="n">
        <f aca="false">SUMIFS(USD_Outflows!$D:$D,USD_Outflows!$A:$A,"&gt;="&amp;A8,USD_Outflows!$A:$A,"&lt;="&amp;B8)</f>
        <v>5642.81</v>
      </c>
      <c r="H8" s="12" t="n">
        <f aca="false">SUMIFS(USD_Outflows!$J:$J,USD_Outflows!$A:$A,"&gt;="&amp;A8,USD_Outflows!$A:$A,"&lt;="&amp;B8)</f>
        <v>14346.86</v>
      </c>
      <c r="I8" s="12" t="n">
        <f aca="false">INDEX(Daily_Balances!$B:$B,MATCH(B8,Daily_Balances!$A:$A,0))</f>
        <v>7348502.52</v>
      </c>
      <c r="J8" s="14" t="n">
        <f aca="false">INDEX(Daily_Balances!$C:$C,MATCH(B8,Daily_Balances!$A:$A,0))</f>
        <v>0</v>
      </c>
    </row>
    <row r="9" customFormat="false" ht="15" hidden="false" customHeight="false" outlineLevel="0" collapsed="false">
      <c r="A9" s="29" t="n">
        <v>45748</v>
      </c>
      <c r="B9" s="30" t="n">
        <f aca="false">MIN(EOMONTH(A9,0),DATE(2026,10,26))</f>
        <v>45777</v>
      </c>
      <c r="C9" s="14" t="n">
        <f aca="false">SUMIFS(Receipts!$F:$F,Receipts!$I:$I,"&gt;="&amp;A9,Receipts!$I:$I,"&lt;="&amp;B9)</f>
        <v>51570</v>
      </c>
      <c r="D9" s="12" t="n">
        <f aca="false">SUMIFS(Conversions!$E:$E,Conversions!$A:$A,"&gt;="&amp;A9,Conversions!$A:$A,"&lt;="&amp;B9)</f>
        <v>4386653.37</v>
      </c>
      <c r="E9" s="12" t="n">
        <f aca="false">SUMIFS(INR_Outflows!$D:$D,INR_Outflows!$A:$A,"&gt;="&amp;A9,INR_Outflows!$A:$A,"&lt;="&amp;B9,INR_Outflows!$B:$B,"&lt;&gt;Sweep to fixed deposit")</f>
        <v>3738645</v>
      </c>
      <c r="F9" s="12" t="n">
        <f aca="false">SUMIFS(INR_Outflows!$D:$D,INR_Outflows!$A:$A,"&gt;="&amp;A9,INR_Outflows!$A:$A,"&lt;="&amp;B9,INR_Outflows!$B:$B,"Sweep to fixed deposit")</f>
        <v>0</v>
      </c>
      <c r="G9" s="14" t="n">
        <f aca="false">SUMIFS(USD_Outflows!$D:$D,USD_Outflows!$A:$A,"&gt;="&amp;A9,USD_Outflows!$A:$A,"&lt;="&amp;B9)</f>
        <v>14318.76</v>
      </c>
      <c r="H9" s="12" t="n">
        <f aca="false">SUMIFS(USD_Outflows!$J:$J,USD_Outflows!$A:$A,"&gt;="&amp;A9,USD_Outflows!$A:$A,"&lt;="&amp;B9)</f>
        <v>21700.57</v>
      </c>
      <c r="I9" s="12" t="n">
        <f aca="false">INDEX(Daily_Balances!$B:$B,MATCH(B9,Daily_Balances!$A:$A,0))</f>
        <v>6755776.63</v>
      </c>
      <c r="J9" s="14" t="n">
        <f aca="false">INDEX(Daily_Balances!$C:$C,MATCH(B9,Daily_Balances!$A:$A,0))</f>
        <v>0</v>
      </c>
    </row>
    <row r="10" customFormat="false" ht="15" hidden="false" customHeight="false" outlineLevel="0" collapsed="false">
      <c r="A10" s="29" t="n">
        <v>45778</v>
      </c>
      <c r="B10" s="30" t="n">
        <f aca="false">MIN(EOMONTH(A10,0),DATE(2026,10,26))</f>
        <v>45808</v>
      </c>
      <c r="C10" s="14" t="n">
        <f aca="false">SUMIFS(Receipts!$F:$F,Receipts!$I:$I,"&gt;="&amp;A10,Receipts!$I:$I,"&lt;="&amp;B10)</f>
        <v>43430</v>
      </c>
      <c r="D10" s="12" t="n">
        <f aca="false">SUMIFS(Conversions!$E:$E,Conversions!$A:$A,"&gt;="&amp;A10,Conversions!$A:$A,"&lt;="&amp;B10)</f>
        <v>3687022.17</v>
      </c>
      <c r="E10" s="12" t="n">
        <f aca="false">SUMIFS(INR_Outflows!$D:$D,INR_Outflows!$A:$A,"&gt;="&amp;A10,INR_Outflows!$A:$A,"&lt;="&amp;B10,INR_Outflows!$B:$B,"&lt;&gt;Sweep to fixed deposit")</f>
        <v>3705387</v>
      </c>
      <c r="F10" s="12" t="n">
        <f aca="false">SUMIFS(INR_Outflows!$D:$D,INR_Outflows!$A:$A,"&gt;="&amp;A10,INR_Outflows!$A:$A,"&lt;="&amp;B10,INR_Outflows!$B:$B,"Sweep to fixed deposit")</f>
        <v>0</v>
      </c>
      <c r="G10" s="14" t="n">
        <f aca="false">SUMIFS(USD_Outflows!$D:$D,USD_Outflows!$A:$A,"&gt;="&amp;A10,USD_Outflows!$A:$A,"&lt;="&amp;B10)</f>
        <v>5566.46</v>
      </c>
      <c r="H10" s="12" t="n">
        <f aca="false">SUMIFS(USD_Outflows!$J:$J,USD_Outflows!$A:$A,"&gt;="&amp;A10,USD_Outflows!$A:$A,"&lt;="&amp;B10)</f>
        <v>14272.98</v>
      </c>
      <c r="I10" s="12" t="n">
        <f aca="false">INDEX(Daily_Balances!$B:$B,MATCH(B10,Daily_Balances!$A:$A,0))</f>
        <v>6247372.6</v>
      </c>
      <c r="J10" s="14" t="n">
        <f aca="false">INDEX(Daily_Balances!$C:$C,MATCH(B10,Daily_Balances!$A:$A,0))</f>
        <v>0</v>
      </c>
    </row>
    <row r="11" customFormat="false" ht="15" hidden="false" customHeight="false" outlineLevel="0" collapsed="false">
      <c r="A11" s="29" t="n">
        <v>45809</v>
      </c>
      <c r="B11" s="30" t="n">
        <f aca="false">MIN(EOMONTH(A11,0),DATE(2026,10,26))</f>
        <v>45838</v>
      </c>
      <c r="C11" s="14" t="n">
        <f aca="false">SUMIFS(Receipts!$F:$F,Receipts!$I:$I,"&gt;="&amp;A11,Receipts!$I:$I,"&lt;="&amp;B11)</f>
        <v>46500</v>
      </c>
      <c r="D11" s="12" t="n">
        <f aca="false">SUMIFS(Conversions!$E:$E,Conversions!$A:$A,"&gt;="&amp;A11,Conversions!$A:$A,"&lt;="&amp;B11)</f>
        <v>3995479.57</v>
      </c>
      <c r="E11" s="12" t="n">
        <f aca="false">SUMIFS(INR_Outflows!$D:$D,INR_Outflows!$A:$A,"&gt;="&amp;A11,INR_Outflows!$A:$A,"&lt;="&amp;B11,INR_Outflows!$B:$B,"&lt;&gt;Sweep to fixed deposit")</f>
        <v>3957885</v>
      </c>
      <c r="F11" s="12" t="n">
        <f aca="false">SUMIFS(INR_Outflows!$D:$D,INR_Outflows!$A:$A,"&gt;="&amp;A11,INR_Outflows!$A:$A,"&lt;="&amp;B11,INR_Outflows!$B:$B,"Sweep to fixed deposit")</f>
        <v>0</v>
      </c>
      <c r="G11" s="14" t="n">
        <f aca="false">SUMIFS(USD_Outflows!$D:$D,USD_Outflows!$A:$A,"&gt;="&amp;A11,USD_Outflows!$A:$A,"&lt;="&amp;B11)</f>
        <v>5647.66</v>
      </c>
      <c r="H11" s="12" t="n">
        <f aca="false">SUMIFS(USD_Outflows!$J:$J,USD_Outflows!$A:$A,"&gt;="&amp;A11,USD_Outflows!$A:$A,"&lt;="&amp;B11)</f>
        <v>14540.29</v>
      </c>
      <c r="I11" s="12" t="n">
        <f aca="false">INDEX(Daily_Balances!$B:$B,MATCH(B11,Daily_Balances!$A:$A,0))</f>
        <v>5785750.58</v>
      </c>
      <c r="J11" s="14" t="n">
        <f aca="false">INDEX(Daily_Balances!$C:$C,MATCH(B11,Daily_Balances!$A:$A,0))</f>
        <v>0</v>
      </c>
    </row>
    <row r="12" customFormat="false" ht="15" hidden="false" customHeight="false" outlineLevel="0" collapsed="false">
      <c r="A12" s="29" t="n">
        <v>45839</v>
      </c>
      <c r="B12" s="30" t="n">
        <f aca="false">MIN(EOMONTH(A12,0),DATE(2026,10,26))</f>
        <v>45869</v>
      </c>
      <c r="C12" s="14" t="n">
        <f aca="false">SUMIFS(Receipts!$F:$F,Receipts!$I:$I,"&gt;="&amp;A12,Receipts!$I:$I,"&lt;="&amp;B12)</f>
        <v>87210</v>
      </c>
      <c r="D12" s="12" t="n">
        <f aca="false">SUMIFS(Conversions!$E:$E,Conversions!$A:$A,"&gt;="&amp;A12,Conversions!$A:$A,"&lt;="&amp;B12)</f>
        <v>7444930.36</v>
      </c>
      <c r="E12" s="12" t="n">
        <f aca="false">SUMIFS(INR_Outflows!$D:$D,INR_Outflows!$A:$A,"&gt;="&amp;A12,INR_Outflows!$A:$A,"&lt;="&amp;B12,INR_Outflows!$B:$B,"&lt;&gt;Sweep to fixed deposit")</f>
        <v>3656161</v>
      </c>
      <c r="F12" s="12" t="n">
        <f aca="false">SUMIFS(INR_Outflows!$D:$D,INR_Outflows!$A:$A,"&gt;="&amp;A12,INR_Outflows!$A:$A,"&lt;="&amp;B12,INR_Outflows!$B:$B,"Sweep to fixed deposit")</f>
        <v>0</v>
      </c>
      <c r="G12" s="14" t="n">
        <f aca="false">SUMIFS(USD_Outflows!$D:$D,USD_Outflows!$A:$A,"&gt;="&amp;A12,USD_Outflows!$A:$A,"&lt;="&amp;B12)</f>
        <v>14766.49</v>
      </c>
      <c r="H12" s="12" t="n">
        <f aca="false">SUMIFS(USD_Outflows!$J:$J,USD_Outflows!$A:$A,"&gt;="&amp;A12,USD_Outflows!$A:$A,"&lt;="&amp;B12)</f>
        <v>22968.32</v>
      </c>
      <c r="I12" s="12" t="n">
        <f aca="false">INDEX(Daily_Balances!$B:$B,MATCH(B12,Daily_Balances!$A:$A,0))</f>
        <v>8287044.2</v>
      </c>
      <c r="J12" s="14" t="n">
        <f aca="false">INDEX(Daily_Balances!$C:$C,MATCH(B12,Daily_Balances!$A:$A,0))</f>
        <v>0</v>
      </c>
    </row>
    <row r="13" customFormat="false" ht="15" hidden="false" customHeight="false" outlineLevel="0" collapsed="false">
      <c r="A13" s="29" t="n">
        <v>45870</v>
      </c>
      <c r="B13" s="30" t="n">
        <f aca="false">MIN(EOMONTH(A13,0),DATE(2026,10,26))</f>
        <v>45900</v>
      </c>
      <c r="C13" s="14" t="n">
        <f aca="false">SUMIFS(Receipts!$F:$F,Receipts!$I:$I,"&gt;="&amp;A13,Receipts!$I:$I,"&lt;="&amp;B13)</f>
        <v>46500</v>
      </c>
      <c r="D13" s="12" t="n">
        <f aca="false">SUMIFS(Conversions!$E:$E,Conversions!$A:$A,"&gt;="&amp;A13,Conversions!$A:$A,"&lt;="&amp;B13)</f>
        <v>3979780.45</v>
      </c>
      <c r="E13" s="12" t="n">
        <f aca="false">SUMIFS(INR_Outflows!$D:$D,INR_Outflows!$A:$A,"&gt;="&amp;A13,INR_Outflows!$A:$A,"&lt;="&amp;B13,INR_Outflows!$B:$B,"&lt;&gt;Sweep to fixed deposit")</f>
        <v>3789873</v>
      </c>
      <c r="F13" s="12" t="n">
        <f aca="false">SUMIFS(INR_Outflows!$D:$D,INR_Outflows!$A:$A,"&gt;="&amp;A13,INR_Outflows!$A:$A,"&lt;="&amp;B13,INR_Outflows!$B:$B,"Sweep to fixed deposit")</f>
        <v>0</v>
      </c>
      <c r="G13" s="14" t="n">
        <f aca="false">SUMIFS(USD_Outflows!$D:$D,USD_Outflows!$A:$A,"&gt;="&amp;A13,USD_Outflows!$A:$A,"&lt;="&amp;B13)</f>
        <v>5741</v>
      </c>
      <c r="H13" s="12" t="n">
        <f aca="false">SUMIFS(USD_Outflows!$J:$J,USD_Outflows!$A:$A,"&gt;="&amp;A13,USD_Outflows!$A:$A,"&lt;="&amp;B13)</f>
        <v>14686.63</v>
      </c>
      <c r="I13" s="12" t="n">
        <f aca="false">INDEX(Daily_Balances!$B:$B,MATCH(B13,Daily_Balances!$A:$A,0))</f>
        <v>7972710.78</v>
      </c>
      <c r="J13" s="14" t="n">
        <f aca="false">INDEX(Daily_Balances!$C:$C,MATCH(B13,Daily_Balances!$A:$A,0))</f>
        <v>0</v>
      </c>
    </row>
    <row r="14" customFormat="false" ht="15" hidden="false" customHeight="false" outlineLevel="0" collapsed="false">
      <c r="A14" s="29" t="n">
        <v>45901</v>
      </c>
      <c r="B14" s="30" t="n">
        <f aca="false">MIN(EOMONTH(A14,0),DATE(2026,10,26))</f>
        <v>45930</v>
      </c>
      <c r="C14" s="14" t="n">
        <f aca="false">SUMIFS(Receipts!$F:$F,Receipts!$I:$I,"&gt;="&amp;A14,Receipts!$I:$I,"&lt;="&amp;B14)</f>
        <v>52640</v>
      </c>
      <c r="D14" s="12" t="n">
        <f aca="false">SUMIFS(Conversions!$E:$E,Conversions!$A:$A,"&gt;="&amp;A14,Conversions!$A:$A,"&lt;="&amp;B14)</f>
        <v>4468362.98</v>
      </c>
      <c r="E14" s="12" t="n">
        <f aca="false">SUMIFS(INR_Outflows!$D:$D,INR_Outflows!$A:$A,"&gt;="&amp;A14,INR_Outflows!$A:$A,"&lt;="&amp;B14,INR_Outflows!$B:$B,"&lt;&gt;Sweep to fixed deposit")</f>
        <v>4371224</v>
      </c>
      <c r="F14" s="12" t="n">
        <f aca="false">SUMIFS(INR_Outflows!$D:$D,INR_Outflows!$A:$A,"&gt;="&amp;A14,INR_Outflows!$A:$A,"&lt;="&amp;B14,INR_Outflows!$B:$B,"Sweep to fixed deposit")</f>
        <v>0</v>
      </c>
      <c r="G14" s="14" t="n">
        <f aca="false">SUMIFS(USD_Outflows!$D:$D,USD_Outflows!$A:$A,"&gt;="&amp;A14,USD_Outflows!$A:$A,"&lt;="&amp;B14)</f>
        <v>5486.77</v>
      </c>
      <c r="H14" s="12" t="n">
        <f aca="false">SUMIFS(USD_Outflows!$J:$J,USD_Outflows!$A:$A,"&gt;="&amp;A14,USD_Outflows!$A:$A,"&lt;="&amp;B14)</f>
        <v>13991.46</v>
      </c>
      <c r="I14" s="12" t="n">
        <f aca="false">INDEX(Daily_Balances!$B:$B,MATCH(B14,Daily_Balances!$A:$A,0))</f>
        <v>7589476.17</v>
      </c>
      <c r="J14" s="14" t="n">
        <f aca="false">INDEX(Daily_Balances!$C:$C,MATCH(B14,Daily_Balances!$A:$A,0))</f>
        <v>0</v>
      </c>
    </row>
    <row r="15" customFormat="false" ht="15" hidden="false" customHeight="false" outlineLevel="0" collapsed="false">
      <c r="A15" s="29" t="n">
        <v>45931</v>
      </c>
      <c r="B15" s="30" t="n">
        <f aca="false">MIN(EOMONTH(A15,0),DATE(2026,10,26))</f>
        <v>45961</v>
      </c>
      <c r="C15" s="14" t="n">
        <f aca="false">SUMIFS(Receipts!$F:$F,Receipts!$I:$I,"&gt;="&amp;A15,Receipts!$I:$I,"&lt;="&amp;B15)</f>
        <v>52640</v>
      </c>
      <c r="D15" s="12" t="n">
        <f aca="false">SUMIFS(Conversions!$E:$E,Conversions!$A:$A,"&gt;="&amp;A15,Conversions!$A:$A,"&lt;="&amp;B15)</f>
        <v>4498823.41</v>
      </c>
      <c r="E15" s="12" t="n">
        <f aca="false">SUMIFS(INR_Outflows!$D:$D,INR_Outflows!$A:$A,"&gt;="&amp;A15,INR_Outflows!$A:$A,"&lt;="&amp;B15,INR_Outflows!$B:$B,"&lt;&gt;Sweep to fixed deposit")</f>
        <v>3718270</v>
      </c>
      <c r="F15" s="12" t="n">
        <f aca="false">SUMIFS(INR_Outflows!$D:$D,INR_Outflows!$A:$A,"&gt;="&amp;A15,INR_Outflows!$A:$A,"&lt;="&amp;B15,INR_Outflows!$B:$B,"Sweep to fixed deposit")</f>
        <v>0</v>
      </c>
      <c r="G15" s="14" t="n">
        <f aca="false">SUMIFS(USD_Outflows!$D:$D,USD_Outflows!$A:$A,"&gt;="&amp;A15,USD_Outflows!$A:$A,"&lt;="&amp;B15)</f>
        <v>14674.41</v>
      </c>
      <c r="H15" s="12" t="n">
        <f aca="false">SUMIFS(USD_Outflows!$J:$J,USD_Outflows!$A:$A,"&gt;="&amp;A15,USD_Outflows!$A:$A,"&lt;="&amp;B15)</f>
        <v>22552.44</v>
      </c>
      <c r="I15" s="12" t="n">
        <f aca="false">INDEX(Daily_Balances!$B:$B,MATCH(B15,Daily_Balances!$A:$A,0))</f>
        <v>7098204.97</v>
      </c>
      <c r="J15" s="14" t="n">
        <f aca="false">INDEX(Daily_Balances!$C:$C,MATCH(B15,Daily_Balances!$A:$A,0))</f>
        <v>0</v>
      </c>
    </row>
    <row r="16" customFormat="false" ht="15" hidden="false" customHeight="false" outlineLevel="0" collapsed="false">
      <c r="A16" s="29" t="n">
        <v>45962</v>
      </c>
      <c r="B16" s="30" t="n">
        <f aca="false">MIN(EOMONTH(A16,0),DATE(2026,10,26))</f>
        <v>45991</v>
      </c>
      <c r="C16" s="14" t="n">
        <f aca="false">SUMIFS(Receipts!$F:$F,Receipts!$I:$I,"&gt;="&amp;A16,Receipts!$I:$I,"&lt;="&amp;B16)</f>
        <v>52640</v>
      </c>
      <c r="D16" s="12" t="n">
        <f aca="false">SUMIFS(Conversions!$E:$E,Conversions!$A:$A,"&gt;="&amp;A16,Conversions!$A:$A,"&lt;="&amp;B16)</f>
        <v>4524791.74</v>
      </c>
      <c r="E16" s="12" t="n">
        <f aca="false">SUMIFS(INR_Outflows!$D:$D,INR_Outflows!$A:$A,"&gt;="&amp;A16,INR_Outflows!$A:$A,"&lt;="&amp;B16,INR_Outflows!$B:$B,"&lt;&gt;Sweep to fixed deposit")</f>
        <v>4072666</v>
      </c>
      <c r="F16" s="12" t="n">
        <f aca="false">SUMIFS(INR_Outflows!$D:$D,INR_Outflows!$A:$A,"&gt;="&amp;A16,INR_Outflows!$A:$A,"&lt;="&amp;B16,INR_Outflows!$B:$B,"Sweep to fixed deposit")</f>
        <v>0</v>
      </c>
      <c r="G16" s="14" t="n">
        <f aca="false">SUMIFS(USD_Outflows!$D:$D,USD_Outflows!$A:$A,"&gt;="&amp;A16,USD_Outflows!$A:$A,"&lt;="&amp;B16)</f>
        <v>5504.03</v>
      </c>
      <c r="H16" s="12" t="n">
        <f aca="false">SUMIFS(USD_Outflows!$J:$J,USD_Outflows!$A:$A,"&gt;="&amp;A16,USD_Outflows!$A:$A,"&lt;="&amp;B16)</f>
        <v>14215.97</v>
      </c>
      <c r="I16" s="12" t="n">
        <f aca="false">INDEX(Daily_Balances!$B:$B,MATCH(B16,Daily_Balances!$A:$A,0))</f>
        <v>7062248.88</v>
      </c>
      <c r="J16" s="14" t="n">
        <f aca="false">INDEX(Daily_Balances!$C:$C,MATCH(B16,Daily_Balances!$A:$A,0))</f>
        <v>0</v>
      </c>
    </row>
    <row r="17" customFormat="false" ht="15" hidden="false" customHeight="false" outlineLevel="0" collapsed="false">
      <c r="A17" s="29" t="n">
        <v>45992</v>
      </c>
      <c r="B17" s="30" t="n">
        <f aca="false">MIN(EOMONTH(A17,0),DATE(2026,10,26))</f>
        <v>46022</v>
      </c>
      <c r="C17" s="14" t="n">
        <f aca="false">SUMIFS(Receipts!$F:$F,Receipts!$I:$I,"&gt;="&amp;A17,Receipts!$I:$I,"&lt;="&amp;B17)</f>
        <v>52640</v>
      </c>
      <c r="D17" s="12" t="n">
        <f aca="false">SUMIFS(Conversions!$E:$E,Conversions!$A:$A,"&gt;="&amp;A17,Conversions!$A:$A,"&lt;="&amp;B17)</f>
        <v>4528148.06</v>
      </c>
      <c r="E17" s="12" t="n">
        <f aca="false">SUMIFS(INR_Outflows!$D:$D,INR_Outflows!$A:$A,"&gt;="&amp;A17,INR_Outflows!$A:$A,"&lt;="&amp;B17,INR_Outflows!$B:$B,"&lt;&gt;Sweep to fixed deposit")</f>
        <v>4139995</v>
      </c>
      <c r="F17" s="12" t="n">
        <f aca="false">SUMIFS(INR_Outflows!$D:$D,INR_Outflows!$A:$A,"&gt;="&amp;A17,INR_Outflows!$A:$A,"&lt;="&amp;B17,INR_Outflows!$B:$B,"Sweep to fixed deposit")</f>
        <v>0</v>
      </c>
      <c r="G17" s="14" t="n">
        <f aca="false">SUMIFS(USD_Outflows!$D:$D,USD_Outflows!$A:$A,"&gt;="&amp;A17,USD_Outflows!$A:$A,"&lt;="&amp;B17)</f>
        <v>5995.22</v>
      </c>
      <c r="H17" s="12" t="n">
        <f aca="false">SUMIFS(USD_Outflows!$J:$J,USD_Outflows!$A:$A,"&gt;="&amp;A17,USD_Outflows!$A:$A,"&lt;="&amp;B17)</f>
        <v>15531.3</v>
      </c>
      <c r="I17" s="12" t="n">
        <f aca="false">INDEX(Daily_Balances!$B:$B,MATCH(B17,Daily_Balances!$A:$A,0))</f>
        <v>6917160.57</v>
      </c>
      <c r="J17" s="14" t="n">
        <f aca="false">INDEX(Daily_Balances!$C:$C,MATCH(B17,Daily_Balances!$A:$A,0))</f>
        <v>0</v>
      </c>
    </row>
    <row r="18" customFormat="false" ht="15" hidden="false" customHeight="false" outlineLevel="0" collapsed="false">
      <c r="A18" s="29" t="n">
        <v>46023</v>
      </c>
      <c r="B18" s="30" t="n">
        <f aca="false">MIN(EOMONTH(A18,0),DATE(2026,10,26))</f>
        <v>46053</v>
      </c>
      <c r="C18" s="14" t="n">
        <f aca="false">SUMIFS(Receipts!$F:$F,Receipts!$I:$I,"&gt;="&amp;A18,Receipts!$I:$I,"&lt;="&amp;B18)</f>
        <v>110520</v>
      </c>
      <c r="D18" s="12" t="n">
        <f aca="false">SUMIFS(Conversions!$E:$E,Conversions!$A:$A,"&gt;="&amp;A18,Conversions!$A:$A,"&lt;="&amp;B18)</f>
        <v>9544186.99</v>
      </c>
      <c r="E18" s="12" t="n">
        <f aca="false">SUMIFS(INR_Outflows!$D:$D,INR_Outflows!$A:$A,"&gt;="&amp;A18,INR_Outflows!$A:$A,"&lt;="&amp;B18,INR_Outflows!$B:$B,"&lt;&gt;Sweep to fixed deposit")</f>
        <v>3658091</v>
      </c>
      <c r="F18" s="12" t="n">
        <f aca="false">SUMIFS(INR_Outflows!$D:$D,INR_Outflows!$A:$A,"&gt;="&amp;A18,INR_Outflows!$A:$A,"&lt;="&amp;B18,INR_Outflows!$B:$B,"Sweep to fixed deposit")</f>
        <v>4900000</v>
      </c>
      <c r="G18" s="14" t="n">
        <f aca="false">SUMIFS(USD_Outflows!$D:$D,USD_Outflows!$A:$A,"&gt;="&amp;A18,USD_Outflows!$A:$A,"&lt;="&amp;B18)</f>
        <v>15041.46</v>
      </c>
      <c r="H18" s="12" t="n">
        <f aca="false">SUMIFS(USD_Outflows!$J:$J,USD_Outflows!$A:$A,"&gt;="&amp;A18,USD_Outflows!$A:$A,"&lt;="&amp;B18)</f>
        <v>23776.08</v>
      </c>
      <c r="I18" s="12" t="n">
        <f aca="false">INDEX(Daily_Balances!$B:$B,MATCH(B18,Daily_Balances!$A:$A,0))</f>
        <v>6583994.02</v>
      </c>
      <c r="J18" s="14" t="n">
        <f aca="false">INDEX(Daily_Balances!$C:$C,MATCH(B18,Daily_Balances!$A:$A,0))</f>
        <v>0</v>
      </c>
    </row>
    <row r="19" customFormat="false" ht="15" hidden="false" customHeight="false" outlineLevel="0" collapsed="false">
      <c r="A19" s="29" t="n">
        <v>46054</v>
      </c>
      <c r="B19" s="30" t="n">
        <f aca="false">MIN(EOMONTH(A19,0),DATE(2026,10,26))</f>
        <v>46081</v>
      </c>
      <c r="C19" s="14" t="n">
        <f aca="false">SUMIFS(Receipts!$F:$F,Receipts!$I:$I,"&gt;="&amp;A19,Receipts!$I:$I,"&lt;="&amp;B19)</f>
        <v>55790</v>
      </c>
      <c r="D19" s="12" t="n">
        <f aca="false">SUMIFS(Conversions!$E:$E,Conversions!$A:$A,"&gt;="&amp;A19,Conversions!$A:$A,"&lt;="&amp;B19)</f>
        <v>4879818.86</v>
      </c>
      <c r="E19" s="12" t="n">
        <f aca="false">SUMIFS(INR_Outflows!$D:$D,INR_Outflows!$A:$A,"&gt;="&amp;A19,INR_Outflows!$A:$A,"&lt;="&amp;B19,INR_Outflows!$B:$B,"&lt;&gt;Sweep to fixed deposit")</f>
        <v>3752015</v>
      </c>
      <c r="F19" s="12" t="n">
        <f aca="false">SUMIFS(INR_Outflows!$D:$D,INR_Outflows!$A:$A,"&gt;="&amp;A19,INR_Outflows!$A:$A,"&lt;="&amp;B19,INR_Outflows!$B:$B,"Sweep to fixed deposit")</f>
        <v>0</v>
      </c>
      <c r="G19" s="14" t="n">
        <f aca="false">SUMIFS(USD_Outflows!$D:$D,USD_Outflows!$A:$A,"&gt;="&amp;A19,USD_Outflows!$A:$A,"&lt;="&amp;B19)</f>
        <v>6449.7</v>
      </c>
      <c r="H19" s="12" t="n">
        <f aca="false">SUMIFS(USD_Outflows!$J:$J,USD_Outflows!$A:$A,"&gt;="&amp;A19,USD_Outflows!$A:$A,"&lt;="&amp;B19)</f>
        <v>16867.22</v>
      </c>
      <c r="I19" s="12" t="n">
        <f aca="false">INDEX(Daily_Balances!$B:$B,MATCH(B19,Daily_Balances!$A:$A,0))</f>
        <v>7132690.17</v>
      </c>
      <c r="J19" s="14" t="n">
        <f aca="false">INDEX(Daily_Balances!$C:$C,MATCH(B19,Daily_Balances!$A:$A,0))</f>
        <v>0</v>
      </c>
    </row>
    <row r="20" customFormat="false" ht="15" hidden="false" customHeight="false" outlineLevel="0" collapsed="false">
      <c r="A20" s="29" t="n">
        <v>46082</v>
      </c>
      <c r="B20" s="30" t="n">
        <f aca="false">MIN(EOMONTH(A20,0),DATE(2026,10,26))</f>
        <v>46112</v>
      </c>
      <c r="C20" s="14" t="n">
        <f aca="false">SUMIFS(Receipts!$F:$F,Receipts!$I:$I,"&gt;="&amp;A20,Receipts!$I:$I,"&lt;="&amp;B20)</f>
        <v>59210</v>
      </c>
      <c r="D20" s="12" t="n">
        <f aca="false">SUMIFS(Conversions!$E:$E,Conversions!$A:$A,"&gt;="&amp;A20,Conversions!$A:$A,"&lt;="&amp;B20)</f>
        <v>5189949.52</v>
      </c>
      <c r="E20" s="12" t="n">
        <f aca="false">SUMIFS(INR_Outflows!$D:$D,INR_Outflows!$A:$A,"&gt;="&amp;A20,INR_Outflows!$A:$A,"&lt;="&amp;B20,INR_Outflows!$B:$B,"&lt;&gt;Sweep to fixed deposit")</f>
        <v>4126566</v>
      </c>
      <c r="F20" s="12" t="n">
        <f aca="false">SUMIFS(INR_Outflows!$D:$D,INR_Outflows!$A:$A,"&gt;="&amp;A20,INR_Outflows!$A:$A,"&lt;="&amp;B20,INR_Outflows!$B:$B,"Sweep to fixed deposit")</f>
        <v>0</v>
      </c>
      <c r="G20" s="14" t="n">
        <f aca="false">SUMIFS(USD_Outflows!$D:$D,USD_Outflows!$A:$A,"&gt;="&amp;A20,USD_Outflows!$A:$A,"&lt;="&amp;B20)</f>
        <v>6241.82</v>
      </c>
      <c r="H20" s="12" t="n">
        <f aca="false">SUMIFS(USD_Outflows!$J:$J,USD_Outflows!$A:$A,"&gt;="&amp;A20,USD_Outflows!$A:$A,"&lt;="&amp;B20)</f>
        <v>16327.06</v>
      </c>
      <c r="I20" s="12" t="n">
        <f aca="false">INDEX(Daily_Balances!$B:$B,MATCH(B20,Daily_Balances!$A:$A,0))</f>
        <v>7635511.22</v>
      </c>
      <c r="J20" s="14" t="n">
        <f aca="false">INDEX(Daily_Balances!$C:$C,MATCH(B20,Daily_Balances!$A:$A,0))</f>
        <v>0</v>
      </c>
    </row>
    <row r="21" customFormat="false" ht="15" hidden="false" customHeight="false" outlineLevel="0" collapsed="false">
      <c r="A21" s="29" t="n">
        <v>46113</v>
      </c>
      <c r="B21" s="30" t="n">
        <f aca="false">MIN(EOMONTH(A21,0),DATE(2026,10,26))</f>
        <v>46142</v>
      </c>
      <c r="C21" s="14" t="n">
        <f aca="false">SUMIFS(Receipts!$F:$F,Receipts!$I:$I,"&gt;="&amp;A21,Receipts!$I:$I,"&lt;="&amp;B21)</f>
        <v>54080</v>
      </c>
      <c r="D21" s="12" t="n">
        <f aca="false">SUMIFS(Conversions!$E:$E,Conversions!$A:$A,"&gt;="&amp;A21,Conversions!$A:$A,"&lt;="&amp;B21)</f>
        <v>4758234.69</v>
      </c>
      <c r="E21" s="12" t="n">
        <f aca="false">SUMIFS(INR_Outflows!$D:$D,INR_Outflows!$A:$A,"&gt;="&amp;A21,INR_Outflows!$A:$A,"&lt;="&amp;B21,INR_Outflows!$B:$B,"&lt;&gt;Sweep to fixed deposit")</f>
        <v>4098918</v>
      </c>
      <c r="F21" s="12" t="n">
        <f aca="false">SUMIFS(INR_Outflows!$D:$D,INR_Outflows!$A:$A,"&gt;="&amp;A21,INR_Outflows!$A:$A,"&lt;="&amp;B21,INR_Outflows!$B:$B,"Sweep to fixed deposit")</f>
        <v>0</v>
      </c>
      <c r="G21" s="14" t="n">
        <f aca="false">SUMIFS(USD_Outflows!$D:$D,USD_Outflows!$A:$A,"&gt;="&amp;A21,USD_Outflows!$A:$A,"&lt;="&amp;B21)</f>
        <v>15587.27</v>
      </c>
      <c r="H21" s="12" t="n">
        <f aca="false">SUMIFS(USD_Outflows!$J:$J,USD_Outflows!$A:$A,"&gt;="&amp;A21,USD_Outflows!$A:$A,"&lt;="&amp;B21)</f>
        <v>25705.96</v>
      </c>
      <c r="I21" s="12" t="n">
        <f aca="false">INDEX(Daily_Balances!$B:$B,MATCH(B21,Daily_Balances!$A:$A,0))</f>
        <v>6898263.8</v>
      </c>
      <c r="J21" s="14" t="n">
        <f aca="false">INDEX(Daily_Balances!$C:$C,MATCH(B21,Daily_Balances!$A:$A,0))</f>
        <v>0</v>
      </c>
    </row>
    <row r="22" customFormat="false" ht="15" hidden="false" customHeight="false" outlineLevel="0" collapsed="false">
      <c r="A22" s="29" t="n">
        <v>46143</v>
      </c>
      <c r="B22" s="30" t="n">
        <f aca="false">MIN(EOMONTH(A22,0),DATE(2026,10,26))</f>
        <v>46173</v>
      </c>
      <c r="C22" s="14" t="n">
        <f aca="false">SUMIFS(Receipts!$F:$F,Receipts!$I:$I,"&gt;="&amp;A22,Receipts!$I:$I,"&lt;="&amp;B22)</f>
        <v>54080</v>
      </c>
      <c r="D22" s="12" t="n">
        <f aca="false">SUMIFS(Conversions!$E:$E,Conversions!$A:$A,"&gt;="&amp;A22,Conversions!$A:$A,"&lt;="&amp;B22)</f>
        <v>4767085.35</v>
      </c>
      <c r="E22" s="12" t="n">
        <f aca="false">SUMIFS(INR_Outflows!$D:$D,INR_Outflows!$A:$A,"&gt;="&amp;A22,INR_Outflows!$A:$A,"&lt;="&amp;B22,INR_Outflows!$B:$B,"&lt;&gt;Sweep to fixed deposit")</f>
        <v>4036189</v>
      </c>
      <c r="F22" s="12" t="n">
        <f aca="false">SUMIFS(INR_Outflows!$D:$D,INR_Outflows!$A:$A,"&gt;="&amp;A22,INR_Outflows!$A:$A,"&lt;="&amp;B22,INR_Outflows!$B:$B,"Sweep to fixed deposit")</f>
        <v>0</v>
      </c>
      <c r="G22" s="14" t="n">
        <f aca="false">SUMIFS(USD_Outflows!$D:$D,USD_Outflows!$A:$A,"&gt;="&amp;A22,USD_Outflows!$A:$A,"&lt;="&amp;B22)</f>
        <v>6450.38</v>
      </c>
      <c r="H22" s="12" t="n">
        <f aca="false">SUMIFS(USD_Outflows!$J:$J,USD_Outflows!$A:$A,"&gt;="&amp;A22,USD_Outflows!$A:$A,"&lt;="&amp;B22)</f>
        <v>17054.06</v>
      </c>
      <c r="I22" s="12" t="n">
        <f aca="false">INDEX(Daily_Balances!$B:$B,MATCH(B22,Daily_Balances!$A:$A,0))</f>
        <v>7043637.46</v>
      </c>
      <c r="J22" s="14" t="n">
        <f aca="false">INDEX(Daily_Balances!$C:$C,MATCH(B22,Daily_Balances!$A:$A,0))</f>
        <v>0</v>
      </c>
    </row>
    <row r="23" customFormat="false" ht="15" hidden="false" customHeight="false" outlineLevel="0" collapsed="false">
      <c r="A23" s="29" t="n">
        <v>46174</v>
      </c>
      <c r="B23" s="30" t="n">
        <f aca="false">MIN(EOMONTH(A23,0),DATE(2026,10,26))</f>
        <v>46203</v>
      </c>
      <c r="C23" s="14" t="n">
        <f aca="false">SUMIFS(Receipts!$F:$F,Receipts!$I:$I,"&gt;="&amp;A23,Receipts!$I:$I,"&lt;="&amp;B23)</f>
        <v>54080</v>
      </c>
      <c r="D23" s="12" t="n">
        <f aca="false">SUMIFS(Conversions!$E:$E,Conversions!$A:$A,"&gt;="&amp;A23,Conversions!$A:$A,"&lt;="&amp;B23)</f>
        <v>4753884.27</v>
      </c>
      <c r="E23" s="12" t="n">
        <f aca="false">SUMIFS(INR_Outflows!$D:$D,INR_Outflows!$A:$A,"&gt;="&amp;A23,INR_Outflows!$A:$A,"&lt;="&amp;B23,INR_Outflows!$B:$B,"&lt;&gt;Sweep to fixed deposit")</f>
        <v>4394120</v>
      </c>
      <c r="F23" s="12" t="n">
        <f aca="false">SUMIFS(INR_Outflows!$D:$D,INR_Outflows!$A:$A,"&gt;="&amp;A23,INR_Outflows!$A:$A,"&lt;="&amp;B23,INR_Outflows!$B:$B,"Sweep to fixed deposit")</f>
        <v>0</v>
      </c>
      <c r="G23" s="14" t="n">
        <f aca="false">SUMIFS(USD_Outflows!$D:$D,USD_Outflows!$A:$A,"&gt;="&amp;A23,USD_Outflows!$A:$A,"&lt;="&amp;B23)</f>
        <v>6624.37</v>
      </c>
      <c r="H23" s="12" t="n">
        <f aca="false">SUMIFS(USD_Outflows!$J:$J,USD_Outflows!$A:$A,"&gt;="&amp;A23,USD_Outflows!$A:$A,"&lt;="&amp;B23)</f>
        <v>17531.08</v>
      </c>
      <c r="I23" s="12" t="n">
        <f aca="false">INDEX(Daily_Balances!$B:$B,MATCH(B23,Daily_Balances!$A:$A,0))</f>
        <v>6801501.25</v>
      </c>
      <c r="J23" s="14" t="n">
        <f aca="false">INDEX(Daily_Balances!$C:$C,MATCH(B23,Daily_Balances!$A:$A,0))</f>
        <v>0</v>
      </c>
    </row>
    <row r="24" customFormat="false" ht="15" hidden="false" customHeight="false" outlineLevel="0" collapsed="false">
      <c r="A24" s="29" t="n">
        <v>46204</v>
      </c>
      <c r="B24" s="30" t="n">
        <f aca="false">MIN(EOMONTH(A24,0),DATE(2026,10,26))</f>
        <v>46234</v>
      </c>
      <c r="C24" s="14" t="n">
        <f aca="false">SUMIFS(Receipts!$F:$F,Receipts!$I:$I,"&gt;="&amp;A24,Receipts!$I:$I,"&lt;="&amp;B24)</f>
        <v>94790</v>
      </c>
      <c r="D24" s="12" t="n">
        <f aca="false">SUMIFS(Conversions!$E:$E,Conversions!$A:$A,"&gt;="&amp;A24,Conversions!$A:$A,"&lt;="&amp;B24)</f>
        <v>8297604.67</v>
      </c>
      <c r="E24" s="12" t="n">
        <f aca="false">SUMIFS(INR_Outflows!$D:$D,INR_Outflows!$A:$A,"&gt;="&amp;A24,INR_Outflows!$A:$A,"&lt;="&amp;B24,INR_Outflows!$B:$B,"&lt;&gt;Sweep to fixed deposit")</f>
        <v>4099791</v>
      </c>
      <c r="F24" s="12" t="n">
        <f aca="false">SUMIFS(INR_Outflows!$D:$D,INR_Outflows!$A:$A,"&gt;="&amp;A24,INR_Outflows!$A:$A,"&lt;="&amp;B24,INR_Outflows!$B:$B,"Sweep to fixed deposit")</f>
        <v>3000000</v>
      </c>
      <c r="G24" s="14" t="n">
        <f aca="false">SUMIFS(USD_Outflows!$D:$D,USD_Outflows!$A:$A,"&gt;="&amp;A24,USD_Outflows!$A:$A,"&lt;="&amp;B24)</f>
        <v>15986.47</v>
      </c>
      <c r="H24" s="12" t="n">
        <f aca="false">SUMIFS(USD_Outflows!$J:$J,USD_Outflows!$A:$A,"&gt;="&amp;A24,USD_Outflows!$A:$A,"&lt;="&amp;B24)</f>
        <v>26608.02</v>
      </c>
      <c r="I24" s="12" t="n">
        <f aca="false">INDEX(Daily_Balances!$B:$B,MATCH(B24,Daily_Balances!$A:$A,0))</f>
        <v>6573467.91</v>
      </c>
      <c r="J24" s="14" t="n">
        <f aca="false">INDEX(Daily_Balances!$C:$C,MATCH(B24,Daily_Balances!$A:$A,0))</f>
        <v>0</v>
      </c>
    </row>
    <row r="25" customFormat="false" ht="15" hidden="false" customHeight="false" outlineLevel="0" collapsed="false">
      <c r="A25" s="29" t="n">
        <v>46235</v>
      </c>
      <c r="B25" s="30" t="n">
        <f aca="false">MIN(EOMONTH(A25,0),DATE(2026,10,26))</f>
        <v>46265</v>
      </c>
      <c r="C25" s="14" t="n">
        <f aca="false">SUMIFS(Receipts!$F:$F,Receipts!$I:$I,"&gt;="&amp;A25,Receipts!$I:$I,"&lt;="&amp;B25)</f>
        <v>71190</v>
      </c>
      <c r="D25" s="12" t="n">
        <f aca="false">SUMIFS(Conversions!$E:$E,Conversions!$A:$A,"&gt;="&amp;A25,Conversions!$A:$A,"&lt;="&amp;B25)</f>
        <v>6281993.06</v>
      </c>
      <c r="E25" s="12" t="n">
        <f aca="false">SUMIFS(INR_Outflows!$D:$D,INR_Outflows!$A:$A,"&gt;="&amp;A25,INR_Outflows!$A:$A,"&lt;="&amp;B25,INR_Outflows!$B:$B,"&lt;&gt;Sweep to fixed deposit")</f>
        <v>4249916</v>
      </c>
      <c r="F25" s="12" t="n">
        <f aca="false">SUMIFS(INR_Outflows!$D:$D,INR_Outflows!$A:$A,"&gt;="&amp;A25,INR_Outflows!$A:$A,"&lt;="&amp;B25,INR_Outflows!$B:$B,"Sweep to fixed deposit")</f>
        <v>0</v>
      </c>
      <c r="G25" s="14" t="n">
        <f aca="false">SUMIFS(USD_Outflows!$D:$D,USD_Outflows!$A:$A,"&gt;="&amp;A25,USD_Outflows!$A:$A,"&lt;="&amp;B25)</f>
        <v>7004</v>
      </c>
      <c r="H25" s="12" t="n">
        <f aca="false">SUMIFS(USD_Outflows!$J:$J,USD_Outflows!$A:$A,"&gt;="&amp;A25,USD_Outflows!$A:$A,"&lt;="&amp;B25)</f>
        <v>18520.12</v>
      </c>
      <c r="I25" s="12" t="n">
        <f aca="false">INDEX(Daily_Balances!$B:$B,MATCH(B25,Daily_Balances!$A:$A,0))</f>
        <v>7969687.35</v>
      </c>
      <c r="J25" s="14" t="n">
        <f aca="false">INDEX(Daily_Balances!$C:$C,MATCH(B25,Daily_Balances!$A:$A,0))</f>
        <v>0</v>
      </c>
    </row>
    <row r="26" customFormat="false" ht="15" hidden="false" customHeight="false" outlineLevel="0" collapsed="false">
      <c r="A26" s="29" t="n">
        <v>46266</v>
      </c>
      <c r="B26" s="30" t="n">
        <f aca="false">MIN(EOMONTH(A26,0),DATE(2026,10,26))</f>
        <v>46295</v>
      </c>
      <c r="C26" s="14" t="n">
        <f aca="false">SUMIFS(Receipts!$F:$F,Receipts!$I:$I,"&gt;="&amp;A26,Receipts!$I:$I,"&lt;="&amp;B26)</f>
        <v>71190</v>
      </c>
      <c r="D26" s="12" t="n">
        <f aca="false">SUMIFS(Conversions!$E:$E,Conversions!$A:$A,"&gt;="&amp;A26,Conversions!$A:$A,"&lt;="&amp;B26)</f>
        <v>2714316.6</v>
      </c>
      <c r="E26" s="12" t="n">
        <f aca="false">SUMIFS(INR_Outflows!$D:$D,INR_Outflows!$A:$A,"&gt;="&amp;A26,INR_Outflows!$A:$A,"&lt;="&amp;B26,INR_Outflows!$B:$B,"&lt;&gt;Sweep to fixed deposit")</f>
        <v>5068288</v>
      </c>
      <c r="F26" s="12" t="n">
        <f aca="false">SUMIFS(INR_Outflows!$D:$D,INR_Outflows!$A:$A,"&gt;="&amp;A26,INR_Outflows!$A:$A,"&lt;="&amp;B26,INR_Outflows!$B:$B,"Sweep to fixed deposit")</f>
        <v>0</v>
      </c>
      <c r="G26" s="14" t="n">
        <f aca="false">SUMIFS(USD_Outflows!$D:$D,USD_Outflows!$A:$A,"&gt;="&amp;A26,USD_Outflows!$A:$A,"&lt;="&amp;B26)</f>
        <v>7826.33</v>
      </c>
      <c r="H26" s="12" t="n">
        <f aca="false">SUMIFS(USD_Outflows!$J:$J,USD_Outflows!$A:$A,"&gt;="&amp;A26,USD_Outflows!$A:$A,"&lt;="&amp;B26)</f>
        <v>17194.55</v>
      </c>
      <c r="I26" s="12" t="n">
        <f aca="false">INDEX(Daily_Balances!$B:$B,MATCH(B26,Daily_Balances!$A:$A,0))</f>
        <v>5025369.58</v>
      </c>
      <c r="J26" s="14" t="n">
        <f aca="false">INDEX(Daily_Balances!$C:$C,MATCH(B26,Daily_Balances!$A:$A,0))</f>
        <v>38900</v>
      </c>
    </row>
    <row r="27" customFormat="false" ht="15" hidden="false" customHeight="false" outlineLevel="0" collapsed="false">
      <c r="A27" s="29" t="n">
        <v>46296</v>
      </c>
      <c r="B27" s="30" t="n">
        <f aca="false">MIN(EOMONTH(A27,0),DATE(2026,10,26))</f>
        <v>46321</v>
      </c>
      <c r="C27" s="14" t="n">
        <f aca="false">SUMIFS(Receipts!$F:$F,Receipts!$I:$I,"&gt;="&amp;A27,Receipts!$I:$I,"&lt;="&amp;B27)</f>
        <v>71190</v>
      </c>
      <c r="D27" s="12" t="n">
        <f aca="false">SUMIFS(Conversions!$E:$E,Conversions!$A:$A,"&gt;="&amp;A27,Conversions!$A:$A,"&lt;="&amp;B27)</f>
        <v>0</v>
      </c>
      <c r="E27" s="12" t="n">
        <f aca="false">SUMIFS(INR_Outflows!$D:$D,INR_Outflows!$A:$A,"&gt;="&amp;A27,INR_Outflows!$A:$A,"&lt;="&amp;B27,INR_Outflows!$B:$B,"&lt;&gt;Sweep to fixed deposit")</f>
        <v>4169077</v>
      </c>
      <c r="F27" s="12" t="n">
        <f aca="false">SUMIFS(INR_Outflows!$D:$D,INR_Outflows!$A:$A,"&gt;="&amp;A27,INR_Outflows!$A:$A,"&lt;="&amp;B27,INR_Outflows!$B:$B,"Sweep to fixed deposit")</f>
        <v>0</v>
      </c>
      <c r="G27" s="14" t="n">
        <f aca="false">SUMIFS(USD_Outflows!$D:$D,USD_Outflows!$A:$A,"&gt;="&amp;A27,USD_Outflows!$A:$A,"&lt;="&amp;B27)</f>
        <v>17567.58</v>
      </c>
      <c r="H27" s="12" t="n">
        <f aca="false">SUMIFS(USD_Outflows!$J:$J,USD_Outflows!$A:$A,"&gt;="&amp;A27,USD_Outflows!$A:$A,"&lt;="&amp;B27)</f>
        <v>0</v>
      </c>
      <c r="I27" s="12" t="n">
        <f aca="false">INDEX(Daily_Balances!$B:$B,MATCH(B27,Daily_Balances!$A:$A,0))</f>
        <v>856292.58</v>
      </c>
      <c r="J27" s="14" t="n">
        <f aca="false">INDEX(Daily_Balances!$C:$C,MATCH(B27,Daily_Balances!$A:$A,0))</f>
        <v>92522.42</v>
      </c>
    </row>
    <row r="28" customFormat="false" ht="15" hidden="false" customHeight="false" outlineLevel="0" collapsed="false">
      <c r="A28" s="10" t="s">
        <v>195</v>
      </c>
      <c r="C28" s="31" t="n">
        <f aca="false">SUM(C4:C27)</f>
        <v>1427000</v>
      </c>
      <c r="D28" s="32" t="n">
        <f aca="false">SUM(D4:D27)</f>
        <v>113300174.14</v>
      </c>
      <c r="E28" s="32" t="n">
        <f aca="false">SUM(E4:E27)</f>
        <v>95039252</v>
      </c>
      <c r="F28" s="32" t="n">
        <f aca="false">SUM(F4:F27)</f>
        <v>7900000</v>
      </c>
      <c r="G28" s="31" t="n">
        <f aca="false">SUM(G4:G27)</f>
        <v>217508.24</v>
      </c>
      <c r="H28" s="32" t="n">
        <f aca="false">SUM(H4:H27)</f>
        <v>407683.5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6"/>
    <col collapsed="false" customWidth="true" hidden="false" outlineLevel="0" max="3" min="3" style="0" width="18"/>
    <col collapsed="false" customWidth="true" hidden="false" outlineLevel="0" max="4" min="4" style="0" width="10"/>
    <col collapsed="false" customWidth="true" hidden="false" outlineLevel="0" max="7" min="5" style="0" width="13"/>
    <col collapsed="false" customWidth="true" hidden="false" outlineLevel="0" max="10" min="8" style="0" width="12"/>
    <col collapsed="false" customWidth="true" hidden="false" outlineLevel="0" max="15" min="11" style="0" width="10"/>
    <col collapsed="false" customWidth="true" hidden="false" outlineLevel="0" max="16" min="16" style="0" width="70"/>
  </cols>
  <sheetData>
    <row r="1" customFormat="false" ht="23.85" hidden="false" customHeight="false" outlineLevel="0" collapsed="false">
      <c r="A1" s="4" t="s">
        <v>196</v>
      </c>
      <c r="B1" s="4" t="s">
        <v>197</v>
      </c>
      <c r="C1" s="4" t="s">
        <v>198</v>
      </c>
      <c r="D1" s="4" t="s">
        <v>199</v>
      </c>
      <c r="E1" s="4" t="s">
        <v>200</v>
      </c>
      <c r="F1" s="4" t="s">
        <v>201</v>
      </c>
      <c r="G1" s="4" t="s">
        <v>202</v>
      </c>
      <c r="H1" s="4" t="s">
        <v>203</v>
      </c>
      <c r="I1" s="4" t="s">
        <v>204</v>
      </c>
      <c r="J1" s="4" t="s">
        <v>81</v>
      </c>
      <c r="K1" s="4" t="s">
        <v>82</v>
      </c>
      <c r="L1" s="4" t="s">
        <v>205</v>
      </c>
      <c r="M1" s="4" t="s">
        <v>206</v>
      </c>
      <c r="N1" s="4" t="s">
        <v>207</v>
      </c>
      <c r="O1" s="4" t="s">
        <v>208</v>
      </c>
      <c r="P1" s="4" t="s">
        <v>209</v>
      </c>
    </row>
    <row r="2" customFormat="false" ht="15" hidden="false" customHeight="false" outlineLevel="0" collapsed="false">
      <c r="A2" s="11" t="s">
        <v>210</v>
      </c>
      <c r="B2" s="11" t="s">
        <v>211</v>
      </c>
      <c r="C2" s="11" t="s">
        <v>212</v>
      </c>
      <c r="D2" s="11" t="n">
        <v>24</v>
      </c>
      <c r="E2" s="30" t="n">
        <v>46296</v>
      </c>
      <c r="F2" s="30" t="n">
        <v>46328</v>
      </c>
      <c r="G2" s="14" t="n">
        <v>3709600</v>
      </c>
      <c r="H2" s="14" t="n">
        <v>3635408</v>
      </c>
      <c r="I2" s="14" t="n">
        <v>3783792</v>
      </c>
      <c r="J2" s="11" t="n">
        <v>93</v>
      </c>
      <c r="K2" s="21" t="s">
        <v>99</v>
      </c>
      <c r="L2" s="13" t="n">
        <v>1</v>
      </c>
      <c r="M2" s="13" t="n">
        <v>0.95</v>
      </c>
      <c r="N2" s="13" t="n">
        <v>0.98</v>
      </c>
      <c r="O2" s="33" t="b">
        <f aca="false">FALSE()</f>
        <v>0</v>
      </c>
      <c r="P2" s="11" t="s">
        <v>213</v>
      </c>
    </row>
    <row r="3" customFormat="false" ht="15" hidden="false" customHeight="false" outlineLevel="0" collapsed="false">
      <c r="A3" s="11" t="s">
        <v>214</v>
      </c>
      <c r="B3" s="11" t="s">
        <v>211</v>
      </c>
      <c r="C3" s="11" t="s">
        <v>212</v>
      </c>
      <c r="D3" s="11" t="n">
        <v>24</v>
      </c>
      <c r="E3" s="30" t="n">
        <v>46300</v>
      </c>
      <c r="F3" s="30" t="n">
        <v>46331</v>
      </c>
      <c r="G3" s="14" t="n">
        <v>336000</v>
      </c>
      <c r="H3" s="14" t="n">
        <v>329280</v>
      </c>
      <c r="I3" s="14" t="n">
        <v>342720</v>
      </c>
      <c r="J3" s="11" t="n">
        <v>95</v>
      </c>
      <c r="K3" s="21" t="s">
        <v>99</v>
      </c>
      <c r="L3" s="13" t="n">
        <v>1</v>
      </c>
      <c r="M3" s="13" t="n">
        <v>0.95</v>
      </c>
      <c r="N3" s="13" t="n">
        <v>1</v>
      </c>
      <c r="O3" s="33" t="b">
        <f aca="false">FALSE()</f>
        <v>0</v>
      </c>
      <c r="P3" s="11" t="s">
        <v>215</v>
      </c>
    </row>
    <row r="4" customFormat="false" ht="15" hidden="false" customHeight="false" outlineLevel="0" collapsed="false">
      <c r="A4" s="11" t="s">
        <v>216</v>
      </c>
      <c r="B4" s="11" t="s">
        <v>211</v>
      </c>
      <c r="C4" s="11" t="s">
        <v>212</v>
      </c>
      <c r="D4" s="11" t="n">
        <v>24</v>
      </c>
      <c r="E4" s="30" t="n">
        <v>46315</v>
      </c>
      <c r="F4" s="30" t="n">
        <v>46346</v>
      </c>
      <c r="G4" s="14" t="n">
        <v>171812</v>
      </c>
      <c r="H4" s="14" t="n">
        <v>123477</v>
      </c>
      <c r="I4" s="14" t="n">
        <v>229703</v>
      </c>
      <c r="J4" s="11" t="n">
        <v>59</v>
      </c>
      <c r="K4" s="22" t="s">
        <v>106</v>
      </c>
      <c r="L4" s="13" t="n">
        <v>1</v>
      </c>
      <c r="M4" s="13" t="n">
        <v>0.95</v>
      </c>
      <c r="N4" s="13" t="n">
        <v>0.61</v>
      </c>
      <c r="O4" s="33" t="b">
        <f aca="false">TRUE()</f>
        <v>1</v>
      </c>
      <c r="P4" s="11" t="s">
        <v>217</v>
      </c>
    </row>
    <row r="5" customFormat="false" ht="15" hidden="false" customHeight="false" outlineLevel="0" collapsed="false">
      <c r="A5" s="11" t="s">
        <v>218</v>
      </c>
      <c r="B5" s="11" t="s">
        <v>211</v>
      </c>
      <c r="C5" s="11" t="s">
        <v>219</v>
      </c>
      <c r="D5" s="11" t="n">
        <v>8</v>
      </c>
      <c r="E5" s="30" t="n">
        <v>46280</v>
      </c>
      <c r="F5" s="30" t="n">
        <v>46371</v>
      </c>
      <c r="G5" s="14" t="n">
        <v>600000</v>
      </c>
      <c r="H5" s="14" t="n">
        <v>550000</v>
      </c>
      <c r="I5" s="14" t="n">
        <v>700000</v>
      </c>
      <c r="J5" s="11" t="n">
        <v>52</v>
      </c>
      <c r="K5" s="22" t="s">
        <v>106</v>
      </c>
      <c r="L5" s="13" t="n">
        <v>0.96</v>
      </c>
      <c r="M5" s="13" t="n">
        <v>0.95</v>
      </c>
      <c r="N5" s="13" t="n">
        <v>0.57</v>
      </c>
      <c r="O5" s="33" t="b">
        <f aca="false">TRUE()</f>
        <v>1</v>
      </c>
      <c r="P5" s="11" t="s">
        <v>220</v>
      </c>
    </row>
    <row r="6" customFormat="false" ht="15" hidden="false" customHeight="false" outlineLevel="0" collapsed="false">
      <c r="A6" s="11" t="s">
        <v>221</v>
      </c>
      <c r="B6" s="11" t="s">
        <v>211</v>
      </c>
      <c r="C6" s="11" t="s">
        <v>222</v>
      </c>
      <c r="D6" s="11" t="n">
        <v>1</v>
      </c>
      <c r="E6" s="30" t="n">
        <v>45975</v>
      </c>
      <c r="F6" s="30" t="n">
        <v>46339</v>
      </c>
      <c r="G6" s="14" t="n">
        <v>420000</v>
      </c>
      <c r="H6" s="14" t="n">
        <v>0</v>
      </c>
      <c r="I6" s="14" t="n">
        <v>450000</v>
      </c>
      <c r="J6" s="11" t="n">
        <v>17</v>
      </c>
      <c r="K6" s="23" t="s">
        <v>115</v>
      </c>
      <c r="L6" s="13" t="n">
        <v>0.58</v>
      </c>
      <c r="M6" s="13" t="n">
        <v>0.6</v>
      </c>
      <c r="N6" s="13" t="n">
        <v>0.5</v>
      </c>
      <c r="O6" s="33" t="b">
        <f aca="false">FALSE()</f>
        <v>0</v>
      </c>
      <c r="P6" s="11" t="s">
        <v>223</v>
      </c>
    </row>
    <row r="7" customFormat="false" ht="15" hidden="false" customHeight="false" outlineLevel="0" collapsed="false">
      <c r="A7" s="11" t="s">
        <v>224</v>
      </c>
      <c r="B7" s="11" t="s">
        <v>78</v>
      </c>
      <c r="C7" s="11" t="s">
        <v>212</v>
      </c>
      <c r="D7" s="11" t="n">
        <v>24</v>
      </c>
      <c r="E7" s="30" t="n">
        <v>46300</v>
      </c>
      <c r="F7" s="30" t="n">
        <v>46329</v>
      </c>
      <c r="G7" s="14" t="n">
        <v>7277.58</v>
      </c>
      <c r="H7" s="14" t="n">
        <v>6185.94</v>
      </c>
      <c r="I7" s="14" t="n">
        <v>8369.22</v>
      </c>
      <c r="J7" s="11" t="n">
        <v>67</v>
      </c>
      <c r="K7" s="22" t="s">
        <v>106</v>
      </c>
      <c r="L7" s="13" t="n">
        <v>1</v>
      </c>
      <c r="M7" s="13" t="n">
        <v>0.95</v>
      </c>
      <c r="N7" s="13" t="n">
        <v>0.7</v>
      </c>
      <c r="O7" s="33" t="b">
        <f aca="false">TRUE()</f>
        <v>1</v>
      </c>
      <c r="P7" s="11" t="s">
        <v>225</v>
      </c>
    </row>
    <row r="8" customFormat="false" ht="15" hidden="false" customHeight="false" outlineLevel="0" collapsed="false">
      <c r="A8" s="11" t="s">
        <v>226</v>
      </c>
      <c r="B8" s="11" t="s">
        <v>78</v>
      </c>
      <c r="C8" s="11" t="s">
        <v>212</v>
      </c>
      <c r="D8" s="11" t="n">
        <v>24</v>
      </c>
      <c r="E8" s="30" t="n">
        <v>46302</v>
      </c>
      <c r="F8" s="30" t="n">
        <v>46335</v>
      </c>
      <c r="G8" s="14" t="n">
        <v>1290</v>
      </c>
      <c r="H8" s="14" t="n">
        <v>1290</v>
      </c>
      <c r="I8" s="14" t="n">
        <v>1290</v>
      </c>
      <c r="J8" s="11" t="n">
        <v>95</v>
      </c>
      <c r="K8" s="21" t="s">
        <v>99</v>
      </c>
      <c r="L8" s="13" t="n">
        <v>1</v>
      </c>
      <c r="M8" s="13" t="n">
        <v>0.95</v>
      </c>
      <c r="N8" s="13" t="n">
        <v>1</v>
      </c>
      <c r="O8" s="33" t="b">
        <f aca="false">FALSE()</f>
        <v>0</v>
      </c>
      <c r="P8" s="11" t="s">
        <v>227</v>
      </c>
    </row>
    <row r="9" customFormat="false" ht="15" hidden="false" customHeight="false" outlineLevel="0" collapsed="false">
      <c r="A9" s="11" t="s">
        <v>228</v>
      </c>
      <c r="B9" s="11" t="s">
        <v>78</v>
      </c>
      <c r="C9" s="11" t="s">
        <v>219</v>
      </c>
      <c r="D9" s="11" t="n">
        <v>8</v>
      </c>
      <c r="E9" s="30" t="n">
        <v>46307</v>
      </c>
      <c r="F9" s="30" t="n">
        <v>46398</v>
      </c>
      <c r="G9" s="14" t="n">
        <v>9000</v>
      </c>
      <c r="H9" s="14" t="n">
        <v>9000</v>
      </c>
      <c r="I9" s="14" t="n">
        <v>9000</v>
      </c>
      <c r="J9" s="11" t="n">
        <v>90</v>
      </c>
      <c r="K9" s="21" t="s">
        <v>99</v>
      </c>
      <c r="L9" s="13" t="n">
        <v>0.96</v>
      </c>
      <c r="M9" s="13" t="n">
        <v>0.94</v>
      </c>
      <c r="N9" s="13" t="n">
        <v>1</v>
      </c>
      <c r="O9" s="33" t="b">
        <f aca="false">FALSE()</f>
        <v>0</v>
      </c>
      <c r="P9" s="11" t="s">
        <v>229</v>
      </c>
    </row>
    <row r="11" customFormat="false" ht="30" hidden="false" customHeight="true" outlineLevel="0" collapsed="false">
      <c r="A11" s="28" t="s">
        <v>230</v>
      </c>
      <c r="B11" s="28"/>
      <c r="C11" s="28"/>
      <c r="D11" s="28"/>
      <c r="E11" s="28"/>
      <c r="F11" s="28"/>
      <c r="G11" s="28"/>
      <c r="H11" s="28"/>
      <c r="I11" s="28"/>
      <c r="J11" s="28"/>
      <c r="K11" s="28"/>
      <c r="L11" s="28"/>
    </row>
  </sheetData>
  <autoFilter ref="A1:P9"/>
  <mergeCells count="1">
    <mergeCell ref="A11:L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8"/>
    <col collapsed="false" customWidth="true" hidden="false" outlineLevel="0" max="3" min="3" style="0" width="9"/>
    <col collapsed="false" customWidth="true" hidden="false" outlineLevel="0" max="4" min="4" style="0" width="30"/>
    <col collapsed="false" customWidth="true" hidden="false" outlineLevel="0" max="5" min="5" style="0" width="12"/>
    <col collapsed="false" customWidth="true" hidden="false" outlineLevel="0" max="6" min="6" style="0" width="16"/>
    <col collapsed="false" customWidth="true" hidden="false" outlineLevel="0" max="7" min="7" style="0" width="10"/>
    <col collapsed="false" customWidth="true" hidden="false" outlineLevel="0" max="8" min="8" style="0" width="16"/>
    <col collapsed="false" customWidth="true" hidden="false" outlineLevel="0" max="9" min="9" style="0" width="14"/>
    <col collapsed="false" customWidth="true" hidden="false" outlineLevel="0" max="10" min="10" style="0" width="10"/>
  </cols>
  <sheetData>
    <row r="1" customFormat="false" ht="35.05" hidden="false" customHeight="false" outlineLevel="0" collapsed="false">
      <c r="A1" s="4" t="s">
        <v>74</v>
      </c>
      <c r="B1" s="4" t="s">
        <v>231</v>
      </c>
      <c r="C1" s="4" t="s">
        <v>232</v>
      </c>
      <c r="D1" s="4" t="s">
        <v>233</v>
      </c>
      <c r="E1" s="4" t="s">
        <v>234</v>
      </c>
      <c r="F1" s="4" t="s">
        <v>235</v>
      </c>
      <c r="G1" s="4" t="s">
        <v>236</v>
      </c>
      <c r="H1" s="4" t="s">
        <v>237</v>
      </c>
      <c r="I1" s="4" t="s">
        <v>238</v>
      </c>
      <c r="J1" s="4" t="s">
        <v>82</v>
      </c>
    </row>
    <row r="2" customFormat="false" ht="15" hidden="false" customHeight="false" outlineLevel="0" collapsed="false">
      <c r="A2" s="11" t="s">
        <v>239</v>
      </c>
      <c r="B2" s="11" t="s">
        <v>240</v>
      </c>
      <c r="C2" s="11" t="s">
        <v>212</v>
      </c>
      <c r="D2" s="11" t="s">
        <v>241</v>
      </c>
      <c r="E2" s="11" t="n">
        <v>24</v>
      </c>
      <c r="F2" s="34" t="n">
        <v>-4.7</v>
      </c>
      <c r="G2" s="34" t="n">
        <v>2.8</v>
      </c>
      <c r="H2" s="14" t="n">
        <v>7760</v>
      </c>
      <c r="I2" s="11" t="n">
        <v>89</v>
      </c>
      <c r="J2" s="21" t="s">
        <v>99</v>
      </c>
    </row>
    <row r="3" customFormat="false" ht="15" hidden="false" customHeight="false" outlineLevel="0" collapsed="false">
      <c r="A3" s="11" t="s">
        <v>242</v>
      </c>
      <c r="B3" s="11" t="s">
        <v>243</v>
      </c>
      <c r="C3" s="11" t="s">
        <v>212</v>
      </c>
      <c r="D3" s="11" t="s">
        <v>241</v>
      </c>
      <c r="E3" s="11" t="n">
        <v>23</v>
      </c>
      <c r="F3" s="34" t="n">
        <v>34</v>
      </c>
      <c r="G3" s="34" t="n">
        <v>7.1</v>
      </c>
      <c r="H3" s="14" t="n">
        <v>8630</v>
      </c>
      <c r="I3" s="11" t="n">
        <v>72</v>
      </c>
      <c r="J3" s="22" t="s">
        <v>106</v>
      </c>
    </row>
    <row r="4" customFormat="false" ht="15" hidden="false" customHeight="false" outlineLevel="0" collapsed="false">
      <c r="A4" s="11" t="s">
        <v>244</v>
      </c>
      <c r="B4" s="11" t="s">
        <v>245</v>
      </c>
      <c r="C4" s="11" t="s">
        <v>212</v>
      </c>
      <c r="D4" s="11" t="s">
        <v>246</v>
      </c>
      <c r="E4" s="11" t="n">
        <v>17</v>
      </c>
      <c r="F4" s="34" t="n">
        <v>-4.4</v>
      </c>
      <c r="G4" s="34" t="n">
        <v>2.9</v>
      </c>
      <c r="H4" s="14" t="n">
        <v>5130</v>
      </c>
      <c r="I4" s="11" t="n">
        <v>86</v>
      </c>
      <c r="J4" s="21" t="s">
        <v>99</v>
      </c>
    </row>
    <row r="5" customFormat="false" ht="15" hidden="false" customHeight="false" outlineLevel="0" collapsed="false">
      <c r="A5" s="11" t="s">
        <v>247</v>
      </c>
      <c r="B5" s="11" t="s">
        <v>248</v>
      </c>
      <c r="C5" s="11" t="s">
        <v>249</v>
      </c>
      <c r="D5" s="11" t="s">
        <v>250</v>
      </c>
      <c r="E5" s="11" t="n">
        <v>2</v>
      </c>
      <c r="F5" s="34" t="n">
        <v>4.5</v>
      </c>
      <c r="G5" s="34" t="n">
        <v>0.5</v>
      </c>
      <c r="H5" s="14" t="n">
        <v>55220</v>
      </c>
      <c r="I5" s="11" t="n">
        <v>63</v>
      </c>
      <c r="J5" s="22" t="s">
        <v>106</v>
      </c>
    </row>
    <row r="6" customFormat="false" ht="15" hidden="false" customHeight="false" outlineLevel="0" collapsed="false">
      <c r="A6" s="11" t="s">
        <v>251</v>
      </c>
      <c r="B6" s="11" t="s">
        <v>252</v>
      </c>
      <c r="C6" s="11" t="s">
        <v>249</v>
      </c>
      <c r="D6" s="11" t="s">
        <v>250</v>
      </c>
      <c r="E6" s="11" t="n">
        <v>2</v>
      </c>
      <c r="F6" s="34" t="n">
        <v>1</v>
      </c>
      <c r="G6" s="34" t="n">
        <v>4</v>
      </c>
      <c r="H6" s="14" t="n">
        <v>40710</v>
      </c>
      <c r="I6" s="11" t="n">
        <v>54</v>
      </c>
      <c r="J6" s="22" t="s">
        <v>106</v>
      </c>
    </row>
    <row r="7" customFormat="false" ht="15" hidden="false" customHeight="false" outlineLevel="0" collapsed="false">
      <c r="A7" s="11" t="s">
        <v>253</v>
      </c>
      <c r="B7" s="11" t="s">
        <v>254</v>
      </c>
      <c r="C7" s="11" t="s">
        <v>212</v>
      </c>
      <c r="D7" s="11" t="s">
        <v>241</v>
      </c>
      <c r="E7" s="11" t="n">
        <v>24</v>
      </c>
      <c r="F7" s="34" t="n">
        <v>-6.2</v>
      </c>
      <c r="G7" s="34" t="n">
        <v>2.9</v>
      </c>
      <c r="H7" s="14" t="n">
        <v>4630</v>
      </c>
      <c r="I7" s="11" t="n">
        <v>89</v>
      </c>
      <c r="J7" s="21" t="s">
        <v>99</v>
      </c>
    </row>
    <row r="8" customFormat="false" ht="15" hidden="false" customHeight="false" outlineLevel="0" collapsed="false">
      <c r="A8" s="11" t="s">
        <v>255</v>
      </c>
      <c r="B8" s="11" t="s">
        <v>256</v>
      </c>
      <c r="C8" s="11" t="s">
        <v>212</v>
      </c>
      <c r="D8" s="11" t="s">
        <v>241</v>
      </c>
      <c r="E8" s="11" t="n">
        <v>21</v>
      </c>
      <c r="F8" s="34" t="n">
        <v>-5.4</v>
      </c>
      <c r="G8" s="34" t="n">
        <v>3.4</v>
      </c>
      <c r="H8" s="14" t="n">
        <v>3880</v>
      </c>
      <c r="I8" s="11" t="n">
        <v>86</v>
      </c>
      <c r="J8" s="21" t="s">
        <v>99</v>
      </c>
    </row>
    <row r="9" customFormat="false" ht="15" hidden="false" customHeight="false" outlineLevel="0" collapsed="false">
      <c r="A9" s="11" t="s">
        <v>257</v>
      </c>
      <c r="B9" s="11" t="s">
        <v>258</v>
      </c>
      <c r="C9" s="11" t="s">
        <v>212</v>
      </c>
      <c r="D9" s="11" t="s">
        <v>241</v>
      </c>
      <c r="E9" s="11" t="n">
        <v>24</v>
      </c>
      <c r="F9" s="34" t="n">
        <v>-5.3</v>
      </c>
      <c r="G9" s="34" t="n">
        <v>2.5</v>
      </c>
      <c r="H9" s="14" t="n">
        <v>9250</v>
      </c>
      <c r="I9" s="11" t="n">
        <v>90</v>
      </c>
      <c r="J9" s="21" t="s">
        <v>99</v>
      </c>
    </row>
    <row r="10" customFormat="false" ht="15" hidden="false" customHeight="false" outlineLevel="0" collapsed="false">
      <c r="A10" s="11" t="s">
        <v>259</v>
      </c>
      <c r="B10" s="11" t="s">
        <v>260</v>
      </c>
      <c r="C10" s="11" t="s">
        <v>212</v>
      </c>
      <c r="D10" s="11" t="s">
        <v>241</v>
      </c>
      <c r="E10" s="11" t="n">
        <v>17</v>
      </c>
      <c r="F10" s="34" t="n">
        <v>-5.6</v>
      </c>
      <c r="G10" s="34" t="n">
        <v>3.1</v>
      </c>
      <c r="H10" s="14" t="n">
        <v>3250</v>
      </c>
      <c r="I10" s="11" t="n">
        <v>87</v>
      </c>
      <c r="J10" s="21" t="s">
        <v>99</v>
      </c>
    </row>
    <row r="11" customFormat="false" ht="15" hidden="false" customHeight="false" outlineLevel="0" collapsed="false">
      <c r="A11" s="11" t="s">
        <v>261</v>
      </c>
      <c r="B11" s="11" t="s">
        <v>262</v>
      </c>
      <c r="C11" s="11" t="s">
        <v>212</v>
      </c>
      <c r="D11" s="11" t="s">
        <v>241</v>
      </c>
      <c r="E11" s="11" t="n">
        <v>14</v>
      </c>
      <c r="F11" s="34" t="n">
        <v>-4.9</v>
      </c>
      <c r="G11" s="34" t="n">
        <v>2.4</v>
      </c>
      <c r="H11" s="14" t="n">
        <v>6510</v>
      </c>
      <c r="I11" s="11" t="n">
        <v>90</v>
      </c>
      <c r="J11" s="21" t="s">
        <v>99</v>
      </c>
    </row>
    <row r="12" customFormat="false" ht="15" hidden="false" customHeight="false" outlineLevel="0" collapsed="false">
      <c r="A12" s="11" t="s">
        <v>263</v>
      </c>
      <c r="B12" s="11" t="s">
        <v>264</v>
      </c>
      <c r="C12" s="11" t="s">
        <v>212</v>
      </c>
      <c r="D12" s="11" t="s">
        <v>241</v>
      </c>
      <c r="E12" s="11" t="n">
        <v>3</v>
      </c>
      <c r="F12" s="34" t="n">
        <v>4.3</v>
      </c>
      <c r="G12" s="34" t="n">
        <v>1.2</v>
      </c>
      <c r="H12" s="14" t="n">
        <v>17110</v>
      </c>
      <c r="I12" s="11" t="n">
        <v>67</v>
      </c>
      <c r="J12" s="22" t="s">
        <v>106</v>
      </c>
    </row>
    <row r="13" customFormat="false" ht="15" hidden="false" customHeight="false" outlineLevel="0" collapsed="false">
      <c r="A13" s="11" t="s">
        <v>265</v>
      </c>
      <c r="B13" s="11" t="s">
        <v>266</v>
      </c>
      <c r="C13" s="11" t="s">
        <v>212</v>
      </c>
      <c r="D13" s="11" t="s">
        <v>241</v>
      </c>
      <c r="E13" s="11" t="n">
        <v>24</v>
      </c>
      <c r="F13" s="34" t="n">
        <v>-6</v>
      </c>
      <c r="G13" s="34" t="n">
        <v>2.5</v>
      </c>
      <c r="H13" s="14" t="n">
        <v>6750</v>
      </c>
      <c r="I13" s="11" t="n">
        <v>90</v>
      </c>
      <c r="J13" s="21" t="s">
        <v>99</v>
      </c>
    </row>
    <row r="14" customFormat="false" ht="15" hidden="false" customHeight="false" outlineLevel="0" collapsed="false">
      <c r="A14" s="11" t="s">
        <v>267</v>
      </c>
      <c r="B14" s="11" t="s">
        <v>268</v>
      </c>
      <c r="C14" s="11" t="s">
        <v>212</v>
      </c>
      <c r="D14" s="11" t="s">
        <v>241</v>
      </c>
      <c r="E14" s="11" t="n">
        <v>8</v>
      </c>
      <c r="F14" s="34" t="n">
        <v>-4.1</v>
      </c>
      <c r="G14" s="34" t="n">
        <v>2</v>
      </c>
      <c r="H14" s="14" t="n">
        <v>3420</v>
      </c>
      <c r="I14" s="11" t="n">
        <v>88</v>
      </c>
      <c r="J14" s="21" t="s">
        <v>99</v>
      </c>
    </row>
  </sheetData>
  <autoFilter ref="A1:J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9"/>
    <col collapsed="false" customWidth="true" hidden="false" outlineLevel="0" max="3" min="3" style="0" width="26"/>
    <col collapsed="false" customWidth="true" hidden="false" outlineLevel="0" max="5" min="4" style="0" width="9"/>
    <col collapsed="false" customWidth="true" hidden="false" outlineLevel="0" max="9" min="6" style="0" width="13"/>
    <col collapsed="false" customWidth="true" hidden="false" outlineLevel="0" max="10" min="10" style="0" width="12"/>
    <col collapsed="false" customWidth="true" hidden="false" outlineLevel="0" max="11" min="11" style="0" width="26"/>
  </cols>
  <sheetData>
    <row r="1" customFormat="false" ht="23.85" hidden="false" customHeight="false" outlineLevel="0" collapsed="false">
      <c r="A1" s="4" t="s">
        <v>269</v>
      </c>
      <c r="B1" s="4" t="s">
        <v>270</v>
      </c>
      <c r="C1" s="4" t="s">
        <v>231</v>
      </c>
      <c r="D1" s="4" t="s">
        <v>232</v>
      </c>
      <c r="E1" s="4" t="s">
        <v>271</v>
      </c>
      <c r="F1" s="4" t="s">
        <v>272</v>
      </c>
      <c r="G1" s="4" t="s">
        <v>273</v>
      </c>
      <c r="H1" s="4" t="s">
        <v>274</v>
      </c>
      <c r="I1" s="4" t="s">
        <v>275</v>
      </c>
      <c r="J1" s="4" t="s">
        <v>276</v>
      </c>
      <c r="K1" s="4" t="s">
        <v>233</v>
      </c>
    </row>
    <row r="2" customFormat="false" ht="15" hidden="false" customHeight="false" outlineLevel="0" collapsed="false">
      <c r="A2" s="11" t="s">
        <v>277</v>
      </c>
      <c r="B2" s="11" t="s">
        <v>239</v>
      </c>
      <c r="C2" s="11" t="s">
        <v>240</v>
      </c>
      <c r="D2" s="11" t="s">
        <v>212</v>
      </c>
      <c r="E2" s="11" t="s">
        <v>78</v>
      </c>
      <c r="F2" s="14" t="n">
        <v>7320</v>
      </c>
      <c r="G2" s="30" t="n">
        <v>45597</v>
      </c>
      <c r="H2" s="30" t="n">
        <v>45612</v>
      </c>
      <c r="I2" s="30" t="n">
        <v>45607</v>
      </c>
      <c r="J2" s="35" t="n">
        <v>-5</v>
      </c>
      <c r="K2" s="11" t="s">
        <v>278</v>
      </c>
    </row>
    <row r="3" customFormat="false" ht="15" hidden="false" customHeight="false" outlineLevel="0" collapsed="false">
      <c r="A3" s="11" t="s">
        <v>279</v>
      </c>
      <c r="B3" s="11" t="s">
        <v>242</v>
      </c>
      <c r="C3" s="11" t="s">
        <v>243</v>
      </c>
      <c r="D3" s="11" t="s">
        <v>212</v>
      </c>
      <c r="E3" s="11" t="s">
        <v>78</v>
      </c>
      <c r="F3" s="14" t="n">
        <v>8140</v>
      </c>
      <c r="G3" s="30" t="n">
        <v>45597</v>
      </c>
      <c r="H3" s="30" t="n">
        <v>45612</v>
      </c>
      <c r="I3" s="30" t="n">
        <v>45636</v>
      </c>
      <c r="J3" s="35" t="n">
        <v>24</v>
      </c>
      <c r="K3" s="11" t="s">
        <v>278</v>
      </c>
    </row>
    <row r="4" customFormat="false" ht="15" hidden="false" customHeight="false" outlineLevel="0" collapsed="false">
      <c r="A4" s="11" t="s">
        <v>280</v>
      </c>
      <c r="B4" s="11" t="s">
        <v>244</v>
      </c>
      <c r="C4" s="11" t="s">
        <v>245</v>
      </c>
      <c r="D4" s="11" t="s">
        <v>212</v>
      </c>
      <c r="E4" s="11" t="s">
        <v>78</v>
      </c>
      <c r="F4" s="14" t="n">
        <v>4840</v>
      </c>
      <c r="G4" s="30" t="n">
        <v>45597</v>
      </c>
      <c r="H4" s="30" t="n">
        <v>45612</v>
      </c>
      <c r="I4" s="30" t="n">
        <v>45607</v>
      </c>
      <c r="J4" s="35" t="n">
        <v>-5</v>
      </c>
      <c r="K4" s="11" t="s">
        <v>278</v>
      </c>
    </row>
    <row r="5" customFormat="false" ht="15" hidden="false" customHeight="false" outlineLevel="0" collapsed="false">
      <c r="A5" s="11" t="s">
        <v>281</v>
      </c>
      <c r="B5" s="11" t="s">
        <v>253</v>
      </c>
      <c r="C5" s="11" t="s">
        <v>254</v>
      </c>
      <c r="D5" s="11" t="s">
        <v>212</v>
      </c>
      <c r="E5" s="11" t="s">
        <v>78</v>
      </c>
      <c r="F5" s="14" t="n">
        <v>4370</v>
      </c>
      <c r="G5" s="30" t="n">
        <v>45597</v>
      </c>
      <c r="H5" s="30" t="n">
        <v>45612</v>
      </c>
      <c r="I5" s="30" t="n">
        <v>45607</v>
      </c>
      <c r="J5" s="35" t="n">
        <v>-5</v>
      </c>
      <c r="K5" s="11" t="s">
        <v>278</v>
      </c>
    </row>
    <row r="6" customFormat="false" ht="15" hidden="false" customHeight="false" outlineLevel="0" collapsed="false">
      <c r="A6" s="11" t="s">
        <v>282</v>
      </c>
      <c r="B6" s="11" t="s">
        <v>257</v>
      </c>
      <c r="C6" s="11" t="s">
        <v>258</v>
      </c>
      <c r="D6" s="11" t="s">
        <v>212</v>
      </c>
      <c r="E6" s="11" t="s">
        <v>78</v>
      </c>
      <c r="F6" s="14" t="n">
        <v>8730</v>
      </c>
      <c r="G6" s="30" t="n">
        <v>45597</v>
      </c>
      <c r="H6" s="30" t="n">
        <v>45612</v>
      </c>
      <c r="I6" s="30" t="n">
        <v>45609</v>
      </c>
      <c r="J6" s="35" t="n">
        <v>-3</v>
      </c>
      <c r="K6" s="11" t="s">
        <v>278</v>
      </c>
    </row>
    <row r="7" customFormat="false" ht="15" hidden="false" customHeight="false" outlineLevel="0" collapsed="false">
      <c r="A7" s="11" t="s">
        <v>283</v>
      </c>
      <c r="B7" s="11" t="s">
        <v>265</v>
      </c>
      <c r="C7" s="11" t="s">
        <v>266</v>
      </c>
      <c r="D7" s="11" t="s">
        <v>212</v>
      </c>
      <c r="E7" s="11" t="s">
        <v>78</v>
      </c>
      <c r="F7" s="14" t="n">
        <v>6370</v>
      </c>
      <c r="G7" s="30" t="n">
        <v>45597</v>
      </c>
      <c r="H7" s="30" t="n">
        <v>45612</v>
      </c>
      <c r="I7" s="30" t="n">
        <v>45607</v>
      </c>
      <c r="J7" s="35" t="n">
        <v>-5</v>
      </c>
      <c r="K7" s="11" t="s">
        <v>278</v>
      </c>
    </row>
    <row r="8" customFormat="false" ht="15" hidden="false" customHeight="false" outlineLevel="0" collapsed="false">
      <c r="A8" s="11" t="s">
        <v>284</v>
      </c>
      <c r="B8" s="11" t="s">
        <v>239</v>
      </c>
      <c r="C8" s="11" t="s">
        <v>240</v>
      </c>
      <c r="D8" s="11" t="s">
        <v>212</v>
      </c>
      <c r="E8" s="11" t="s">
        <v>78</v>
      </c>
      <c r="F8" s="14" t="n">
        <v>7320</v>
      </c>
      <c r="G8" s="30" t="n">
        <v>45628</v>
      </c>
      <c r="H8" s="30" t="n">
        <v>45643</v>
      </c>
      <c r="I8" s="30" t="n">
        <v>45642</v>
      </c>
      <c r="J8" s="35" t="n">
        <v>-1</v>
      </c>
      <c r="K8" s="11" t="s">
        <v>278</v>
      </c>
    </row>
    <row r="9" customFormat="false" ht="15" hidden="false" customHeight="false" outlineLevel="0" collapsed="false">
      <c r="A9" s="11" t="s">
        <v>285</v>
      </c>
      <c r="B9" s="11" t="s">
        <v>242</v>
      </c>
      <c r="C9" s="11" t="s">
        <v>243</v>
      </c>
      <c r="D9" s="11" t="s">
        <v>212</v>
      </c>
      <c r="E9" s="11" t="s">
        <v>78</v>
      </c>
      <c r="F9" s="14" t="n">
        <v>8140</v>
      </c>
      <c r="G9" s="30" t="n">
        <v>45628</v>
      </c>
      <c r="H9" s="30" t="n">
        <v>45643</v>
      </c>
      <c r="I9" s="30" t="n">
        <v>45677</v>
      </c>
      <c r="J9" s="35" t="n">
        <v>34</v>
      </c>
      <c r="K9" s="11" t="s">
        <v>278</v>
      </c>
    </row>
    <row r="10" customFormat="false" ht="15" hidden="false" customHeight="false" outlineLevel="0" collapsed="false">
      <c r="A10" s="11" t="s">
        <v>286</v>
      </c>
      <c r="B10" s="11" t="s">
        <v>244</v>
      </c>
      <c r="C10" s="11" t="s">
        <v>245</v>
      </c>
      <c r="D10" s="11" t="s">
        <v>212</v>
      </c>
      <c r="E10" s="11" t="s">
        <v>78</v>
      </c>
      <c r="F10" s="14" t="n">
        <v>4840</v>
      </c>
      <c r="G10" s="30" t="n">
        <v>45628</v>
      </c>
      <c r="H10" s="30" t="n">
        <v>45643</v>
      </c>
      <c r="I10" s="30" t="n">
        <v>45635</v>
      </c>
      <c r="J10" s="35" t="n">
        <v>-8</v>
      </c>
      <c r="K10" s="11" t="s">
        <v>278</v>
      </c>
    </row>
    <row r="11" customFormat="false" ht="15" hidden="false" customHeight="false" outlineLevel="0" collapsed="false">
      <c r="A11" s="11" t="s">
        <v>287</v>
      </c>
      <c r="B11" s="11" t="s">
        <v>253</v>
      </c>
      <c r="C11" s="11" t="s">
        <v>254</v>
      </c>
      <c r="D11" s="11" t="s">
        <v>212</v>
      </c>
      <c r="E11" s="11" t="s">
        <v>78</v>
      </c>
      <c r="F11" s="14" t="n">
        <v>4370</v>
      </c>
      <c r="G11" s="30" t="n">
        <v>45628</v>
      </c>
      <c r="H11" s="30" t="n">
        <v>45643</v>
      </c>
      <c r="I11" s="30" t="n">
        <v>45639</v>
      </c>
      <c r="J11" s="35" t="n">
        <v>-4</v>
      </c>
      <c r="K11" s="11" t="s">
        <v>278</v>
      </c>
    </row>
    <row r="12" customFormat="false" ht="15" hidden="false" customHeight="false" outlineLevel="0" collapsed="false">
      <c r="A12" s="11" t="s">
        <v>288</v>
      </c>
      <c r="B12" s="11" t="s">
        <v>257</v>
      </c>
      <c r="C12" s="11" t="s">
        <v>258</v>
      </c>
      <c r="D12" s="11" t="s">
        <v>212</v>
      </c>
      <c r="E12" s="11" t="s">
        <v>78</v>
      </c>
      <c r="F12" s="14" t="n">
        <v>8730</v>
      </c>
      <c r="G12" s="30" t="n">
        <v>45628</v>
      </c>
      <c r="H12" s="30" t="n">
        <v>45643</v>
      </c>
      <c r="I12" s="30" t="n">
        <v>45635</v>
      </c>
      <c r="J12" s="35" t="n">
        <v>-8</v>
      </c>
      <c r="K12" s="11" t="s">
        <v>278</v>
      </c>
    </row>
    <row r="13" customFormat="false" ht="15" hidden="false" customHeight="false" outlineLevel="0" collapsed="false">
      <c r="A13" s="11" t="s">
        <v>289</v>
      </c>
      <c r="B13" s="11" t="s">
        <v>265</v>
      </c>
      <c r="C13" s="11" t="s">
        <v>266</v>
      </c>
      <c r="D13" s="11" t="s">
        <v>212</v>
      </c>
      <c r="E13" s="11" t="s">
        <v>78</v>
      </c>
      <c r="F13" s="14" t="n">
        <v>6370</v>
      </c>
      <c r="G13" s="30" t="n">
        <v>45628</v>
      </c>
      <c r="H13" s="30" t="n">
        <v>45643</v>
      </c>
      <c r="I13" s="30" t="n">
        <v>45635</v>
      </c>
      <c r="J13" s="35" t="n">
        <v>-8</v>
      </c>
      <c r="K13" s="11" t="s">
        <v>278</v>
      </c>
    </row>
    <row r="14" customFormat="false" ht="15" hidden="false" customHeight="false" outlineLevel="0" collapsed="false">
      <c r="A14" s="11" t="s">
        <v>290</v>
      </c>
      <c r="B14" s="11" t="s">
        <v>239</v>
      </c>
      <c r="C14" s="11" t="s">
        <v>240</v>
      </c>
      <c r="D14" s="11" t="s">
        <v>212</v>
      </c>
      <c r="E14" s="11" t="s">
        <v>78</v>
      </c>
      <c r="F14" s="14" t="n">
        <v>7320</v>
      </c>
      <c r="G14" s="30" t="n">
        <v>45658</v>
      </c>
      <c r="H14" s="30" t="n">
        <v>45673</v>
      </c>
      <c r="I14" s="30" t="n">
        <v>45671</v>
      </c>
      <c r="J14" s="35" t="n">
        <v>-2</v>
      </c>
      <c r="K14" s="11" t="s">
        <v>278</v>
      </c>
    </row>
    <row r="15" customFormat="false" ht="15" hidden="false" customHeight="false" outlineLevel="0" collapsed="false">
      <c r="A15" s="11" t="s">
        <v>291</v>
      </c>
      <c r="B15" s="11" t="s">
        <v>242</v>
      </c>
      <c r="C15" s="11" t="s">
        <v>243</v>
      </c>
      <c r="D15" s="11" t="s">
        <v>212</v>
      </c>
      <c r="E15" s="11" t="s">
        <v>78</v>
      </c>
      <c r="F15" s="14" t="n">
        <v>8140</v>
      </c>
      <c r="G15" s="30" t="n">
        <v>45658</v>
      </c>
      <c r="H15" s="30" t="n">
        <v>45673</v>
      </c>
      <c r="I15" s="30" t="n">
        <v>45714</v>
      </c>
      <c r="J15" s="35" t="n">
        <v>41</v>
      </c>
      <c r="K15" s="11" t="s">
        <v>278</v>
      </c>
    </row>
    <row r="16" customFormat="false" ht="15" hidden="false" customHeight="false" outlineLevel="0" collapsed="false">
      <c r="A16" s="11" t="s">
        <v>292</v>
      </c>
      <c r="B16" s="11" t="s">
        <v>244</v>
      </c>
      <c r="C16" s="11" t="s">
        <v>245</v>
      </c>
      <c r="D16" s="11" t="s">
        <v>212</v>
      </c>
      <c r="E16" s="11" t="s">
        <v>78</v>
      </c>
      <c r="F16" s="14" t="n">
        <v>4840</v>
      </c>
      <c r="G16" s="30" t="n">
        <v>45658</v>
      </c>
      <c r="H16" s="30" t="n">
        <v>45673</v>
      </c>
      <c r="I16" s="30" t="n">
        <v>45671</v>
      </c>
      <c r="J16" s="35" t="n">
        <v>-2</v>
      </c>
      <c r="K16" s="11" t="s">
        <v>278</v>
      </c>
    </row>
    <row r="17" customFormat="false" ht="15" hidden="false" customHeight="false" outlineLevel="0" collapsed="false">
      <c r="A17" s="11" t="s">
        <v>293</v>
      </c>
      <c r="B17" s="11" t="s">
        <v>247</v>
      </c>
      <c r="C17" s="11" t="s">
        <v>248</v>
      </c>
      <c r="D17" s="11" t="s">
        <v>249</v>
      </c>
      <c r="E17" s="11" t="s">
        <v>78</v>
      </c>
      <c r="F17" s="14" t="n">
        <v>55220</v>
      </c>
      <c r="G17" s="30" t="n">
        <v>45658</v>
      </c>
      <c r="H17" s="30" t="n">
        <v>45673</v>
      </c>
      <c r="I17" s="30" t="n">
        <v>45677</v>
      </c>
      <c r="J17" s="35" t="n">
        <v>4</v>
      </c>
      <c r="K17" s="11" t="s">
        <v>278</v>
      </c>
    </row>
    <row r="18" customFormat="false" ht="15" hidden="false" customHeight="false" outlineLevel="0" collapsed="false">
      <c r="A18" s="11" t="s">
        <v>294</v>
      </c>
      <c r="B18" s="11" t="s">
        <v>253</v>
      </c>
      <c r="C18" s="11" t="s">
        <v>254</v>
      </c>
      <c r="D18" s="11" t="s">
        <v>212</v>
      </c>
      <c r="E18" s="11" t="s">
        <v>78</v>
      </c>
      <c r="F18" s="14" t="n">
        <v>4370</v>
      </c>
      <c r="G18" s="30" t="n">
        <v>45658</v>
      </c>
      <c r="H18" s="30" t="n">
        <v>45673</v>
      </c>
      <c r="I18" s="30" t="n">
        <v>45664</v>
      </c>
      <c r="J18" s="35" t="n">
        <v>-9</v>
      </c>
      <c r="K18" s="11" t="s">
        <v>278</v>
      </c>
    </row>
    <row r="19" customFormat="false" ht="15" hidden="false" customHeight="false" outlineLevel="0" collapsed="false">
      <c r="A19" s="11" t="s">
        <v>295</v>
      </c>
      <c r="B19" s="11" t="s">
        <v>257</v>
      </c>
      <c r="C19" s="11" t="s">
        <v>258</v>
      </c>
      <c r="D19" s="11" t="s">
        <v>212</v>
      </c>
      <c r="E19" s="11" t="s">
        <v>78</v>
      </c>
      <c r="F19" s="14" t="n">
        <v>8730</v>
      </c>
      <c r="G19" s="30" t="n">
        <v>45658</v>
      </c>
      <c r="H19" s="30" t="n">
        <v>45673</v>
      </c>
      <c r="I19" s="30" t="n">
        <v>45670</v>
      </c>
      <c r="J19" s="35" t="n">
        <v>-3</v>
      </c>
      <c r="K19" s="11" t="s">
        <v>278</v>
      </c>
    </row>
    <row r="20" customFormat="false" ht="15" hidden="false" customHeight="false" outlineLevel="0" collapsed="false">
      <c r="A20" s="11" t="s">
        <v>296</v>
      </c>
      <c r="B20" s="11" t="s">
        <v>265</v>
      </c>
      <c r="C20" s="11" t="s">
        <v>266</v>
      </c>
      <c r="D20" s="11" t="s">
        <v>212</v>
      </c>
      <c r="E20" s="11" t="s">
        <v>78</v>
      </c>
      <c r="F20" s="14" t="n">
        <v>6370</v>
      </c>
      <c r="G20" s="30" t="n">
        <v>45658</v>
      </c>
      <c r="H20" s="30" t="n">
        <v>45673</v>
      </c>
      <c r="I20" s="30" t="n">
        <v>45666</v>
      </c>
      <c r="J20" s="35" t="n">
        <v>-7</v>
      </c>
      <c r="K20" s="11" t="s">
        <v>278</v>
      </c>
    </row>
    <row r="21" customFormat="false" ht="15" hidden="false" customHeight="false" outlineLevel="0" collapsed="false">
      <c r="A21" s="11" t="s">
        <v>297</v>
      </c>
      <c r="B21" s="11" t="s">
        <v>239</v>
      </c>
      <c r="C21" s="11" t="s">
        <v>240</v>
      </c>
      <c r="D21" s="11" t="s">
        <v>212</v>
      </c>
      <c r="E21" s="11" t="s">
        <v>78</v>
      </c>
      <c r="F21" s="14" t="n">
        <v>7320</v>
      </c>
      <c r="G21" s="30" t="n">
        <v>45691</v>
      </c>
      <c r="H21" s="30" t="n">
        <v>45706</v>
      </c>
      <c r="I21" s="30" t="n">
        <v>45698</v>
      </c>
      <c r="J21" s="35" t="n">
        <v>-8</v>
      </c>
      <c r="K21" s="11" t="s">
        <v>278</v>
      </c>
    </row>
    <row r="22" customFormat="false" ht="15" hidden="false" customHeight="false" outlineLevel="0" collapsed="false">
      <c r="A22" s="11" t="s">
        <v>298</v>
      </c>
      <c r="B22" s="11" t="s">
        <v>242</v>
      </c>
      <c r="C22" s="11" t="s">
        <v>243</v>
      </c>
      <c r="D22" s="11" t="s">
        <v>212</v>
      </c>
      <c r="E22" s="11" t="s">
        <v>78</v>
      </c>
      <c r="F22" s="14" t="n">
        <v>8140</v>
      </c>
      <c r="G22" s="30" t="n">
        <v>45691</v>
      </c>
      <c r="H22" s="30" t="n">
        <v>45706</v>
      </c>
      <c r="I22" s="30" t="n">
        <v>45748</v>
      </c>
      <c r="J22" s="35" t="n">
        <v>42</v>
      </c>
      <c r="K22" s="11" t="s">
        <v>278</v>
      </c>
    </row>
    <row r="23" customFormat="false" ht="15" hidden="false" customHeight="false" outlineLevel="0" collapsed="false">
      <c r="A23" s="11" t="s">
        <v>299</v>
      </c>
      <c r="B23" s="11" t="s">
        <v>244</v>
      </c>
      <c r="C23" s="11" t="s">
        <v>245</v>
      </c>
      <c r="D23" s="11" t="s">
        <v>212</v>
      </c>
      <c r="E23" s="11" t="s">
        <v>78</v>
      </c>
      <c r="F23" s="14" t="n">
        <v>4840</v>
      </c>
      <c r="G23" s="30" t="n">
        <v>45691</v>
      </c>
      <c r="H23" s="30" t="n">
        <v>45706</v>
      </c>
      <c r="I23" s="30" t="n">
        <v>45700</v>
      </c>
      <c r="J23" s="35" t="n">
        <v>-6</v>
      </c>
      <c r="K23" s="11" t="s">
        <v>278</v>
      </c>
    </row>
    <row r="24" customFormat="false" ht="15" hidden="false" customHeight="false" outlineLevel="0" collapsed="false">
      <c r="A24" s="11" t="s">
        <v>300</v>
      </c>
      <c r="B24" s="11" t="s">
        <v>253</v>
      </c>
      <c r="C24" s="11" t="s">
        <v>254</v>
      </c>
      <c r="D24" s="11" t="s">
        <v>212</v>
      </c>
      <c r="E24" s="11" t="s">
        <v>78</v>
      </c>
      <c r="F24" s="14" t="n">
        <v>4370</v>
      </c>
      <c r="G24" s="30" t="n">
        <v>45691</v>
      </c>
      <c r="H24" s="30" t="n">
        <v>45706</v>
      </c>
      <c r="I24" s="30" t="n">
        <v>45698</v>
      </c>
      <c r="J24" s="35" t="n">
        <v>-8</v>
      </c>
      <c r="K24" s="11" t="s">
        <v>278</v>
      </c>
    </row>
    <row r="25" customFormat="false" ht="15" hidden="false" customHeight="false" outlineLevel="0" collapsed="false">
      <c r="A25" s="11" t="s">
        <v>301</v>
      </c>
      <c r="B25" s="11" t="s">
        <v>255</v>
      </c>
      <c r="C25" s="11" t="s">
        <v>256</v>
      </c>
      <c r="D25" s="11" t="s">
        <v>212</v>
      </c>
      <c r="E25" s="11" t="s">
        <v>78</v>
      </c>
      <c r="F25" s="14" t="n">
        <v>3660</v>
      </c>
      <c r="G25" s="30" t="n">
        <v>45691</v>
      </c>
      <c r="H25" s="30" t="n">
        <v>45706</v>
      </c>
      <c r="I25" s="30" t="n">
        <v>45702</v>
      </c>
      <c r="J25" s="35" t="n">
        <v>-4</v>
      </c>
      <c r="K25" s="11" t="s">
        <v>278</v>
      </c>
    </row>
    <row r="26" customFormat="false" ht="15" hidden="false" customHeight="false" outlineLevel="0" collapsed="false">
      <c r="A26" s="11" t="s">
        <v>302</v>
      </c>
      <c r="B26" s="11" t="s">
        <v>257</v>
      </c>
      <c r="C26" s="11" t="s">
        <v>258</v>
      </c>
      <c r="D26" s="11" t="s">
        <v>212</v>
      </c>
      <c r="E26" s="11" t="s">
        <v>78</v>
      </c>
      <c r="F26" s="14" t="n">
        <v>8730</v>
      </c>
      <c r="G26" s="30" t="n">
        <v>45691</v>
      </c>
      <c r="H26" s="30" t="n">
        <v>45706</v>
      </c>
      <c r="I26" s="30" t="n">
        <v>45698</v>
      </c>
      <c r="J26" s="35" t="n">
        <v>-8</v>
      </c>
      <c r="K26" s="11" t="s">
        <v>278</v>
      </c>
    </row>
    <row r="27" customFormat="false" ht="15" hidden="false" customHeight="false" outlineLevel="0" collapsed="false">
      <c r="A27" s="11" t="s">
        <v>303</v>
      </c>
      <c r="B27" s="11" t="s">
        <v>265</v>
      </c>
      <c r="C27" s="11" t="s">
        <v>266</v>
      </c>
      <c r="D27" s="11" t="s">
        <v>212</v>
      </c>
      <c r="E27" s="11" t="s">
        <v>78</v>
      </c>
      <c r="F27" s="14" t="n">
        <v>6370</v>
      </c>
      <c r="G27" s="30" t="n">
        <v>45691</v>
      </c>
      <c r="H27" s="30" t="n">
        <v>45706</v>
      </c>
      <c r="I27" s="30" t="n">
        <v>45702</v>
      </c>
      <c r="J27" s="35" t="n">
        <v>-4</v>
      </c>
      <c r="K27" s="11" t="s">
        <v>278</v>
      </c>
    </row>
    <row r="28" customFormat="false" ht="15" hidden="false" customHeight="false" outlineLevel="0" collapsed="false">
      <c r="A28" s="11" t="s">
        <v>304</v>
      </c>
      <c r="B28" s="11" t="s">
        <v>239</v>
      </c>
      <c r="C28" s="11" t="s">
        <v>240</v>
      </c>
      <c r="D28" s="11" t="s">
        <v>212</v>
      </c>
      <c r="E28" s="11" t="s">
        <v>78</v>
      </c>
      <c r="F28" s="14" t="n">
        <v>7320</v>
      </c>
      <c r="G28" s="30" t="n">
        <v>45719</v>
      </c>
      <c r="H28" s="30" t="n">
        <v>45734</v>
      </c>
      <c r="I28" s="30" t="n">
        <v>45733</v>
      </c>
      <c r="J28" s="35" t="n">
        <v>-1</v>
      </c>
      <c r="K28" s="11" t="s">
        <v>278</v>
      </c>
    </row>
    <row r="29" customFormat="false" ht="15" hidden="false" customHeight="false" outlineLevel="0" collapsed="false">
      <c r="A29" s="11" t="s">
        <v>305</v>
      </c>
      <c r="B29" s="11" t="s">
        <v>242</v>
      </c>
      <c r="C29" s="11" t="s">
        <v>243</v>
      </c>
      <c r="D29" s="11" t="s">
        <v>212</v>
      </c>
      <c r="E29" s="11" t="s">
        <v>78</v>
      </c>
      <c r="F29" s="14" t="n">
        <v>8140</v>
      </c>
      <c r="G29" s="30" t="n">
        <v>45719</v>
      </c>
      <c r="H29" s="30" t="n">
        <v>45734</v>
      </c>
      <c r="I29" s="30" t="n">
        <v>45763</v>
      </c>
      <c r="J29" s="35" t="n">
        <v>29</v>
      </c>
      <c r="K29" s="11" t="s">
        <v>278</v>
      </c>
    </row>
    <row r="30" customFormat="false" ht="15" hidden="false" customHeight="false" outlineLevel="0" collapsed="false">
      <c r="A30" s="11" t="s">
        <v>306</v>
      </c>
      <c r="B30" s="11" t="s">
        <v>244</v>
      </c>
      <c r="C30" s="11" t="s">
        <v>245</v>
      </c>
      <c r="D30" s="11" t="s">
        <v>212</v>
      </c>
      <c r="E30" s="11" t="s">
        <v>78</v>
      </c>
      <c r="F30" s="14" t="n">
        <v>4840</v>
      </c>
      <c r="G30" s="30" t="n">
        <v>45719</v>
      </c>
      <c r="H30" s="30" t="n">
        <v>45734</v>
      </c>
      <c r="I30" s="30" t="n">
        <v>45727</v>
      </c>
      <c r="J30" s="35" t="n">
        <v>-7</v>
      </c>
      <c r="K30" s="11" t="s">
        <v>278</v>
      </c>
    </row>
    <row r="31" customFormat="false" ht="15" hidden="false" customHeight="false" outlineLevel="0" collapsed="false">
      <c r="A31" s="11" t="s">
        <v>307</v>
      </c>
      <c r="B31" s="11" t="s">
        <v>253</v>
      </c>
      <c r="C31" s="11" t="s">
        <v>254</v>
      </c>
      <c r="D31" s="11" t="s">
        <v>212</v>
      </c>
      <c r="E31" s="11" t="s">
        <v>78</v>
      </c>
      <c r="F31" s="14" t="n">
        <v>4370</v>
      </c>
      <c r="G31" s="30" t="n">
        <v>45719</v>
      </c>
      <c r="H31" s="30" t="n">
        <v>45734</v>
      </c>
      <c r="I31" s="30" t="n">
        <v>45726</v>
      </c>
      <c r="J31" s="35" t="n">
        <v>-8</v>
      </c>
      <c r="K31" s="11" t="s">
        <v>278</v>
      </c>
    </row>
    <row r="32" customFormat="false" ht="15" hidden="false" customHeight="false" outlineLevel="0" collapsed="false">
      <c r="A32" s="11" t="s">
        <v>308</v>
      </c>
      <c r="B32" s="11" t="s">
        <v>255</v>
      </c>
      <c r="C32" s="11" t="s">
        <v>256</v>
      </c>
      <c r="D32" s="11" t="s">
        <v>212</v>
      </c>
      <c r="E32" s="11" t="s">
        <v>78</v>
      </c>
      <c r="F32" s="14" t="n">
        <v>3660</v>
      </c>
      <c r="G32" s="30" t="n">
        <v>45719</v>
      </c>
      <c r="H32" s="30" t="n">
        <v>45734</v>
      </c>
      <c r="I32" s="30" t="n">
        <v>45733</v>
      </c>
      <c r="J32" s="35" t="n">
        <v>-1</v>
      </c>
      <c r="K32" s="11" t="s">
        <v>278</v>
      </c>
    </row>
    <row r="33" customFormat="false" ht="15" hidden="false" customHeight="false" outlineLevel="0" collapsed="false">
      <c r="A33" s="11" t="s">
        <v>309</v>
      </c>
      <c r="B33" s="11" t="s">
        <v>257</v>
      </c>
      <c r="C33" s="11" t="s">
        <v>258</v>
      </c>
      <c r="D33" s="11" t="s">
        <v>212</v>
      </c>
      <c r="E33" s="11" t="s">
        <v>78</v>
      </c>
      <c r="F33" s="14" t="n">
        <v>8730</v>
      </c>
      <c r="G33" s="30" t="n">
        <v>45719</v>
      </c>
      <c r="H33" s="30" t="n">
        <v>45734</v>
      </c>
      <c r="I33" s="30" t="n">
        <v>45727</v>
      </c>
      <c r="J33" s="35" t="n">
        <v>-7</v>
      </c>
      <c r="K33" s="11" t="s">
        <v>278</v>
      </c>
    </row>
    <row r="34" customFormat="false" ht="15" hidden="false" customHeight="false" outlineLevel="0" collapsed="false">
      <c r="A34" s="11" t="s">
        <v>310</v>
      </c>
      <c r="B34" s="11" t="s">
        <v>265</v>
      </c>
      <c r="C34" s="11" t="s">
        <v>266</v>
      </c>
      <c r="D34" s="11" t="s">
        <v>212</v>
      </c>
      <c r="E34" s="11" t="s">
        <v>78</v>
      </c>
      <c r="F34" s="14" t="n">
        <v>6370</v>
      </c>
      <c r="G34" s="30" t="n">
        <v>45719</v>
      </c>
      <c r="H34" s="30" t="n">
        <v>45734</v>
      </c>
      <c r="I34" s="30" t="n">
        <v>45726</v>
      </c>
      <c r="J34" s="35" t="n">
        <v>-8</v>
      </c>
      <c r="K34" s="11" t="s">
        <v>278</v>
      </c>
    </row>
    <row r="35" customFormat="false" ht="15" hidden="false" customHeight="false" outlineLevel="0" collapsed="false">
      <c r="A35" s="11" t="s">
        <v>311</v>
      </c>
      <c r="B35" s="11" t="s">
        <v>239</v>
      </c>
      <c r="C35" s="11" t="s">
        <v>240</v>
      </c>
      <c r="D35" s="11" t="s">
        <v>212</v>
      </c>
      <c r="E35" s="11" t="s">
        <v>78</v>
      </c>
      <c r="F35" s="14" t="n">
        <v>7320</v>
      </c>
      <c r="G35" s="30" t="n">
        <v>45748</v>
      </c>
      <c r="H35" s="30" t="n">
        <v>45763</v>
      </c>
      <c r="I35" s="30" t="n">
        <v>45757</v>
      </c>
      <c r="J35" s="35" t="n">
        <v>-6</v>
      </c>
      <c r="K35" s="11" t="s">
        <v>278</v>
      </c>
    </row>
    <row r="36" customFormat="false" ht="15" hidden="false" customHeight="false" outlineLevel="0" collapsed="false">
      <c r="A36" s="11" t="s">
        <v>312</v>
      </c>
      <c r="B36" s="11" t="s">
        <v>242</v>
      </c>
      <c r="C36" s="11" t="s">
        <v>243</v>
      </c>
      <c r="D36" s="11" t="s">
        <v>212</v>
      </c>
      <c r="E36" s="11" t="s">
        <v>78</v>
      </c>
      <c r="F36" s="14" t="n">
        <v>8140</v>
      </c>
      <c r="G36" s="30" t="n">
        <v>45748</v>
      </c>
      <c r="H36" s="30" t="n">
        <v>45763</v>
      </c>
      <c r="I36" s="30" t="n">
        <v>45804</v>
      </c>
      <c r="J36" s="35" t="n">
        <v>41</v>
      </c>
      <c r="K36" s="11" t="s">
        <v>278</v>
      </c>
    </row>
    <row r="37" customFormat="false" ht="15" hidden="false" customHeight="false" outlineLevel="0" collapsed="false">
      <c r="A37" s="11" t="s">
        <v>313</v>
      </c>
      <c r="B37" s="11" t="s">
        <v>244</v>
      </c>
      <c r="C37" s="11" t="s">
        <v>245</v>
      </c>
      <c r="D37" s="11" t="s">
        <v>212</v>
      </c>
      <c r="E37" s="11" t="s">
        <v>78</v>
      </c>
      <c r="F37" s="14" t="n">
        <v>4840</v>
      </c>
      <c r="G37" s="30" t="n">
        <v>45748</v>
      </c>
      <c r="H37" s="30" t="n">
        <v>45763</v>
      </c>
      <c r="I37" s="30" t="n">
        <v>45754</v>
      </c>
      <c r="J37" s="35" t="n">
        <v>-9</v>
      </c>
      <c r="K37" s="11" t="s">
        <v>278</v>
      </c>
    </row>
    <row r="38" customFormat="false" ht="15" hidden="false" customHeight="false" outlineLevel="0" collapsed="false">
      <c r="A38" s="11" t="s">
        <v>314</v>
      </c>
      <c r="B38" s="11" t="s">
        <v>253</v>
      </c>
      <c r="C38" s="11" t="s">
        <v>254</v>
      </c>
      <c r="D38" s="11" t="s">
        <v>212</v>
      </c>
      <c r="E38" s="11" t="s">
        <v>78</v>
      </c>
      <c r="F38" s="14" t="n">
        <v>4370</v>
      </c>
      <c r="G38" s="30" t="n">
        <v>45748</v>
      </c>
      <c r="H38" s="30" t="n">
        <v>45763</v>
      </c>
      <c r="I38" s="30" t="n">
        <v>45755</v>
      </c>
      <c r="J38" s="35" t="n">
        <v>-8</v>
      </c>
      <c r="K38" s="11" t="s">
        <v>278</v>
      </c>
    </row>
    <row r="39" customFormat="false" ht="15" hidden="false" customHeight="false" outlineLevel="0" collapsed="false">
      <c r="A39" s="11" t="s">
        <v>315</v>
      </c>
      <c r="B39" s="11" t="s">
        <v>255</v>
      </c>
      <c r="C39" s="11" t="s">
        <v>256</v>
      </c>
      <c r="D39" s="11" t="s">
        <v>212</v>
      </c>
      <c r="E39" s="11" t="s">
        <v>78</v>
      </c>
      <c r="F39" s="14" t="n">
        <v>3660</v>
      </c>
      <c r="G39" s="30" t="n">
        <v>45748</v>
      </c>
      <c r="H39" s="30" t="n">
        <v>45763</v>
      </c>
      <c r="I39" s="30" t="n">
        <v>45762</v>
      </c>
      <c r="J39" s="35" t="n">
        <v>-1</v>
      </c>
      <c r="K39" s="11" t="s">
        <v>278</v>
      </c>
    </row>
    <row r="40" customFormat="false" ht="15" hidden="false" customHeight="false" outlineLevel="0" collapsed="false">
      <c r="A40" s="11" t="s">
        <v>316</v>
      </c>
      <c r="B40" s="11" t="s">
        <v>257</v>
      </c>
      <c r="C40" s="11" t="s">
        <v>258</v>
      </c>
      <c r="D40" s="11" t="s">
        <v>212</v>
      </c>
      <c r="E40" s="11" t="s">
        <v>78</v>
      </c>
      <c r="F40" s="14" t="n">
        <v>8730</v>
      </c>
      <c r="G40" s="30" t="n">
        <v>45748</v>
      </c>
      <c r="H40" s="30" t="n">
        <v>45763</v>
      </c>
      <c r="I40" s="30" t="n">
        <v>45754</v>
      </c>
      <c r="J40" s="35" t="n">
        <v>-9</v>
      </c>
      <c r="K40" s="11" t="s">
        <v>278</v>
      </c>
    </row>
    <row r="41" customFormat="false" ht="15" hidden="false" customHeight="false" outlineLevel="0" collapsed="false">
      <c r="A41" s="11" t="s">
        <v>317</v>
      </c>
      <c r="B41" s="11" t="s">
        <v>265</v>
      </c>
      <c r="C41" s="11" t="s">
        <v>266</v>
      </c>
      <c r="D41" s="11" t="s">
        <v>212</v>
      </c>
      <c r="E41" s="11" t="s">
        <v>78</v>
      </c>
      <c r="F41" s="14" t="n">
        <v>6370</v>
      </c>
      <c r="G41" s="30" t="n">
        <v>45748</v>
      </c>
      <c r="H41" s="30" t="n">
        <v>45763</v>
      </c>
      <c r="I41" s="30" t="n">
        <v>45754</v>
      </c>
      <c r="J41" s="35" t="n">
        <v>-9</v>
      </c>
      <c r="K41" s="11" t="s">
        <v>278</v>
      </c>
    </row>
    <row r="42" customFormat="false" ht="15" hidden="false" customHeight="false" outlineLevel="0" collapsed="false">
      <c r="A42" s="11" t="s">
        <v>318</v>
      </c>
      <c r="B42" s="11" t="s">
        <v>239</v>
      </c>
      <c r="C42" s="11" t="s">
        <v>240</v>
      </c>
      <c r="D42" s="11" t="s">
        <v>212</v>
      </c>
      <c r="E42" s="11" t="s">
        <v>78</v>
      </c>
      <c r="F42" s="14" t="n">
        <v>7320</v>
      </c>
      <c r="G42" s="30" t="n">
        <v>45778</v>
      </c>
      <c r="H42" s="30" t="n">
        <v>45793</v>
      </c>
      <c r="I42" s="30" t="n">
        <v>45790</v>
      </c>
      <c r="J42" s="35" t="n">
        <v>-3</v>
      </c>
      <c r="K42" s="11" t="s">
        <v>278</v>
      </c>
    </row>
    <row r="43" customFormat="false" ht="15" hidden="false" customHeight="false" outlineLevel="0" collapsed="false">
      <c r="A43" s="11" t="s">
        <v>319</v>
      </c>
      <c r="B43" s="11" t="s">
        <v>242</v>
      </c>
      <c r="C43" s="11" t="s">
        <v>243</v>
      </c>
      <c r="D43" s="11" t="s">
        <v>212</v>
      </c>
      <c r="E43" s="11" t="s">
        <v>78</v>
      </c>
      <c r="F43" s="14" t="n">
        <v>8140</v>
      </c>
      <c r="G43" s="30" t="n">
        <v>45778</v>
      </c>
      <c r="H43" s="30" t="n">
        <v>45793</v>
      </c>
      <c r="I43" s="30" t="n">
        <v>45817</v>
      </c>
      <c r="J43" s="35" t="n">
        <v>24</v>
      </c>
      <c r="K43" s="11" t="s">
        <v>278</v>
      </c>
    </row>
    <row r="44" customFormat="false" ht="15" hidden="false" customHeight="false" outlineLevel="0" collapsed="false">
      <c r="A44" s="11" t="s">
        <v>320</v>
      </c>
      <c r="B44" s="11" t="s">
        <v>244</v>
      </c>
      <c r="C44" s="11" t="s">
        <v>245</v>
      </c>
      <c r="D44" s="11" t="s">
        <v>212</v>
      </c>
      <c r="E44" s="11" t="s">
        <v>78</v>
      </c>
      <c r="F44" s="14" t="n">
        <v>4840</v>
      </c>
      <c r="G44" s="30" t="n">
        <v>45778</v>
      </c>
      <c r="H44" s="30" t="n">
        <v>45793</v>
      </c>
      <c r="I44" s="30" t="n">
        <v>45792</v>
      </c>
      <c r="J44" s="35" t="n">
        <v>-1</v>
      </c>
      <c r="K44" s="11" t="s">
        <v>278</v>
      </c>
    </row>
    <row r="45" customFormat="false" ht="15" hidden="false" customHeight="false" outlineLevel="0" collapsed="false">
      <c r="A45" s="11" t="s">
        <v>321</v>
      </c>
      <c r="B45" s="11" t="s">
        <v>253</v>
      </c>
      <c r="C45" s="11" t="s">
        <v>254</v>
      </c>
      <c r="D45" s="11" t="s">
        <v>212</v>
      </c>
      <c r="E45" s="11" t="s">
        <v>78</v>
      </c>
      <c r="F45" s="14" t="n">
        <v>4370</v>
      </c>
      <c r="G45" s="30" t="n">
        <v>45778</v>
      </c>
      <c r="H45" s="30" t="n">
        <v>45793</v>
      </c>
      <c r="I45" s="30" t="n">
        <v>45791</v>
      </c>
      <c r="J45" s="35" t="n">
        <v>-2</v>
      </c>
      <c r="K45" s="11" t="s">
        <v>278</v>
      </c>
    </row>
    <row r="46" customFormat="false" ht="15" hidden="false" customHeight="false" outlineLevel="0" collapsed="false">
      <c r="A46" s="11" t="s">
        <v>322</v>
      </c>
      <c r="B46" s="11" t="s">
        <v>255</v>
      </c>
      <c r="C46" s="11" t="s">
        <v>256</v>
      </c>
      <c r="D46" s="11" t="s">
        <v>212</v>
      </c>
      <c r="E46" s="11" t="s">
        <v>78</v>
      </c>
      <c r="F46" s="14" t="n">
        <v>3660</v>
      </c>
      <c r="G46" s="30" t="n">
        <v>45778</v>
      </c>
      <c r="H46" s="30" t="n">
        <v>45793</v>
      </c>
      <c r="I46" s="30" t="n">
        <v>45792</v>
      </c>
      <c r="J46" s="35" t="n">
        <v>-1</v>
      </c>
      <c r="K46" s="11" t="s">
        <v>278</v>
      </c>
    </row>
    <row r="47" customFormat="false" ht="15" hidden="false" customHeight="false" outlineLevel="0" collapsed="false">
      <c r="A47" s="11" t="s">
        <v>323</v>
      </c>
      <c r="B47" s="11" t="s">
        <v>257</v>
      </c>
      <c r="C47" s="11" t="s">
        <v>258</v>
      </c>
      <c r="D47" s="11" t="s">
        <v>212</v>
      </c>
      <c r="E47" s="11" t="s">
        <v>78</v>
      </c>
      <c r="F47" s="14" t="n">
        <v>8730</v>
      </c>
      <c r="G47" s="30" t="n">
        <v>45778</v>
      </c>
      <c r="H47" s="30" t="n">
        <v>45793</v>
      </c>
      <c r="I47" s="30" t="n">
        <v>45790</v>
      </c>
      <c r="J47" s="35" t="n">
        <v>-3</v>
      </c>
      <c r="K47" s="11" t="s">
        <v>278</v>
      </c>
    </row>
    <row r="48" customFormat="false" ht="15" hidden="false" customHeight="false" outlineLevel="0" collapsed="false">
      <c r="A48" s="11" t="s">
        <v>324</v>
      </c>
      <c r="B48" s="11" t="s">
        <v>265</v>
      </c>
      <c r="C48" s="11" t="s">
        <v>266</v>
      </c>
      <c r="D48" s="11" t="s">
        <v>212</v>
      </c>
      <c r="E48" s="11" t="s">
        <v>78</v>
      </c>
      <c r="F48" s="14" t="n">
        <v>6370</v>
      </c>
      <c r="G48" s="30" t="n">
        <v>45778</v>
      </c>
      <c r="H48" s="30" t="n">
        <v>45793</v>
      </c>
      <c r="I48" s="30" t="n">
        <v>45790</v>
      </c>
      <c r="J48" s="35" t="n">
        <v>-3</v>
      </c>
      <c r="K48" s="11" t="s">
        <v>278</v>
      </c>
    </row>
    <row r="49" customFormat="false" ht="15" hidden="false" customHeight="false" outlineLevel="0" collapsed="false">
      <c r="A49" s="11" t="s">
        <v>325</v>
      </c>
      <c r="B49" s="11" t="s">
        <v>239</v>
      </c>
      <c r="C49" s="11" t="s">
        <v>240</v>
      </c>
      <c r="D49" s="11" t="s">
        <v>212</v>
      </c>
      <c r="E49" s="11" t="s">
        <v>78</v>
      </c>
      <c r="F49" s="14" t="n">
        <v>7320</v>
      </c>
      <c r="G49" s="30" t="n">
        <v>45810</v>
      </c>
      <c r="H49" s="30" t="n">
        <v>45825</v>
      </c>
      <c r="I49" s="30" t="n">
        <v>45817</v>
      </c>
      <c r="J49" s="35" t="n">
        <v>-8</v>
      </c>
      <c r="K49" s="11" t="s">
        <v>278</v>
      </c>
    </row>
    <row r="50" customFormat="false" ht="15" hidden="false" customHeight="false" outlineLevel="0" collapsed="false">
      <c r="A50" s="11" t="s">
        <v>326</v>
      </c>
      <c r="B50" s="11" t="s">
        <v>242</v>
      </c>
      <c r="C50" s="11" t="s">
        <v>243</v>
      </c>
      <c r="D50" s="11" t="s">
        <v>212</v>
      </c>
      <c r="E50" s="11" t="s">
        <v>78</v>
      </c>
      <c r="F50" s="14" t="n">
        <v>8140</v>
      </c>
      <c r="G50" s="30" t="n">
        <v>45810</v>
      </c>
      <c r="H50" s="30" t="n">
        <v>45825</v>
      </c>
      <c r="I50" s="30" t="n">
        <v>45867</v>
      </c>
      <c r="J50" s="35" t="n">
        <v>42</v>
      </c>
      <c r="K50" s="11" t="s">
        <v>278</v>
      </c>
    </row>
    <row r="51" customFormat="false" ht="15" hidden="false" customHeight="false" outlineLevel="0" collapsed="false">
      <c r="A51" s="11" t="s">
        <v>327</v>
      </c>
      <c r="B51" s="11" t="s">
        <v>244</v>
      </c>
      <c r="C51" s="11" t="s">
        <v>245</v>
      </c>
      <c r="D51" s="11" t="s">
        <v>212</v>
      </c>
      <c r="E51" s="11" t="s">
        <v>78</v>
      </c>
      <c r="F51" s="14" t="n">
        <v>4840</v>
      </c>
      <c r="G51" s="30" t="n">
        <v>45810</v>
      </c>
      <c r="H51" s="30" t="n">
        <v>45825</v>
      </c>
      <c r="I51" s="30" t="n">
        <v>45824</v>
      </c>
      <c r="J51" s="35" t="n">
        <v>-1</v>
      </c>
      <c r="K51" s="11" t="s">
        <v>278</v>
      </c>
    </row>
    <row r="52" customFormat="false" ht="15" hidden="false" customHeight="false" outlineLevel="0" collapsed="false">
      <c r="A52" s="11" t="s">
        <v>328</v>
      </c>
      <c r="B52" s="11" t="s">
        <v>253</v>
      </c>
      <c r="C52" s="11" t="s">
        <v>254</v>
      </c>
      <c r="D52" s="11" t="s">
        <v>212</v>
      </c>
      <c r="E52" s="11" t="s">
        <v>78</v>
      </c>
      <c r="F52" s="14" t="n">
        <v>4370</v>
      </c>
      <c r="G52" s="30" t="n">
        <v>45810</v>
      </c>
      <c r="H52" s="30" t="n">
        <v>45825</v>
      </c>
      <c r="I52" s="30" t="n">
        <v>45824</v>
      </c>
      <c r="J52" s="35" t="n">
        <v>-1</v>
      </c>
      <c r="K52" s="11" t="s">
        <v>278</v>
      </c>
    </row>
    <row r="53" customFormat="false" ht="15" hidden="false" customHeight="false" outlineLevel="0" collapsed="false">
      <c r="A53" s="11" t="s">
        <v>329</v>
      </c>
      <c r="B53" s="11" t="s">
        <v>255</v>
      </c>
      <c r="C53" s="11" t="s">
        <v>256</v>
      </c>
      <c r="D53" s="11" t="s">
        <v>212</v>
      </c>
      <c r="E53" s="11" t="s">
        <v>78</v>
      </c>
      <c r="F53" s="14" t="n">
        <v>3660</v>
      </c>
      <c r="G53" s="30" t="n">
        <v>45810</v>
      </c>
      <c r="H53" s="30" t="n">
        <v>45825</v>
      </c>
      <c r="I53" s="30" t="n">
        <v>45821</v>
      </c>
      <c r="J53" s="35" t="n">
        <v>-4</v>
      </c>
      <c r="K53" s="11" t="s">
        <v>278</v>
      </c>
    </row>
    <row r="54" customFormat="false" ht="15" hidden="false" customHeight="false" outlineLevel="0" collapsed="false">
      <c r="A54" s="11" t="s">
        <v>330</v>
      </c>
      <c r="B54" s="11" t="s">
        <v>257</v>
      </c>
      <c r="C54" s="11" t="s">
        <v>258</v>
      </c>
      <c r="D54" s="11" t="s">
        <v>212</v>
      </c>
      <c r="E54" s="11" t="s">
        <v>78</v>
      </c>
      <c r="F54" s="14" t="n">
        <v>8730</v>
      </c>
      <c r="G54" s="30" t="n">
        <v>45810</v>
      </c>
      <c r="H54" s="30" t="n">
        <v>45825</v>
      </c>
      <c r="I54" s="30" t="n">
        <v>45820</v>
      </c>
      <c r="J54" s="35" t="n">
        <v>-5</v>
      </c>
      <c r="K54" s="11" t="s">
        <v>278</v>
      </c>
    </row>
    <row r="55" customFormat="false" ht="15" hidden="false" customHeight="false" outlineLevel="0" collapsed="false">
      <c r="A55" s="11" t="s">
        <v>331</v>
      </c>
      <c r="B55" s="11" t="s">
        <v>259</v>
      </c>
      <c r="C55" s="11" t="s">
        <v>260</v>
      </c>
      <c r="D55" s="11" t="s">
        <v>212</v>
      </c>
      <c r="E55" s="11" t="s">
        <v>78</v>
      </c>
      <c r="F55" s="14" t="n">
        <v>3070</v>
      </c>
      <c r="G55" s="30" t="n">
        <v>45810</v>
      </c>
      <c r="H55" s="30" t="n">
        <v>45825</v>
      </c>
      <c r="I55" s="30" t="n">
        <v>45817</v>
      </c>
      <c r="J55" s="35" t="n">
        <v>-8</v>
      </c>
      <c r="K55" s="11" t="s">
        <v>278</v>
      </c>
    </row>
    <row r="56" customFormat="false" ht="15" hidden="false" customHeight="false" outlineLevel="0" collapsed="false">
      <c r="A56" s="11" t="s">
        <v>332</v>
      </c>
      <c r="B56" s="11" t="s">
        <v>265</v>
      </c>
      <c r="C56" s="11" t="s">
        <v>266</v>
      </c>
      <c r="D56" s="11" t="s">
        <v>212</v>
      </c>
      <c r="E56" s="11" t="s">
        <v>78</v>
      </c>
      <c r="F56" s="14" t="n">
        <v>6370</v>
      </c>
      <c r="G56" s="30" t="n">
        <v>45810</v>
      </c>
      <c r="H56" s="30" t="n">
        <v>45825</v>
      </c>
      <c r="I56" s="30" t="n">
        <v>45817</v>
      </c>
      <c r="J56" s="35" t="n">
        <v>-8</v>
      </c>
      <c r="K56" s="11" t="s">
        <v>278</v>
      </c>
    </row>
    <row r="57" customFormat="false" ht="15" hidden="false" customHeight="false" outlineLevel="0" collapsed="false">
      <c r="A57" s="11" t="s">
        <v>333</v>
      </c>
      <c r="B57" s="11" t="s">
        <v>239</v>
      </c>
      <c r="C57" s="11" t="s">
        <v>240</v>
      </c>
      <c r="D57" s="11" t="s">
        <v>212</v>
      </c>
      <c r="E57" s="11" t="s">
        <v>78</v>
      </c>
      <c r="F57" s="14" t="n">
        <v>7320</v>
      </c>
      <c r="G57" s="30" t="n">
        <v>45839</v>
      </c>
      <c r="H57" s="30" t="n">
        <v>45854</v>
      </c>
      <c r="I57" s="30" t="n">
        <v>45852</v>
      </c>
      <c r="J57" s="35" t="n">
        <v>-2</v>
      </c>
      <c r="K57" s="11" t="s">
        <v>278</v>
      </c>
    </row>
    <row r="58" customFormat="false" ht="15" hidden="false" customHeight="false" outlineLevel="0" collapsed="false">
      <c r="A58" s="11" t="s">
        <v>334</v>
      </c>
      <c r="B58" s="11" t="s">
        <v>242</v>
      </c>
      <c r="C58" s="11" t="s">
        <v>243</v>
      </c>
      <c r="D58" s="11" t="s">
        <v>212</v>
      </c>
      <c r="E58" s="11" t="s">
        <v>78</v>
      </c>
      <c r="F58" s="14" t="n">
        <v>8140</v>
      </c>
      <c r="G58" s="30" t="n">
        <v>45839</v>
      </c>
      <c r="H58" s="30" t="n">
        <v>45854</v>
      </c>
      <c r="I58" s="30" t="n">
        <v>45894</v>
      </c>
      <c r="J58" s="35" t="n">
        <v>40</v>
      </c>
      <c r="K58" s="11" t="s">
        <v>278</v>
      </c>
    </row>
    <row r="59" customFormat="false" ht="15" hidden="false" customHeight="false" outlineLevel="0" collapsed="false">
      <c r="A59" s="11" t="s">
        <v>335</v>
      </c>
      <c r="B59" s="11" t="s">
        <v>244</v>
      </c>
      <c r="C59" s="11" t="s">
        <v>245</v>
      </c>
      <c r="D59" s="11" t="s">
        <v>212</v>
      </c>
      <c r="E59" s="11" t="s">
        <v>78</v>
      </c>
      <c r="F59" s="14" t="n">
        <v>4840</v>
      </c>
      <c r="G59" s="30" t="n">
        <v>45839</v>
      </c>
      <c r="H59" s="30" t="n">
        <v>45854</v>
      </c>
      <c r="I59" s="30" t="n">
        <v>45852</v>
      </c>
      <c r="J59" s="35" t="n">
        <v>-2</v>
      </c>
      <c r="K59" s="11" t="s">
        <v>278</v>
      </c>
    </row>
    <row r="60" customFormat="false" ht="15" hidden="false" customHeight="false" outlineLevel="0" collapsed="false">
      <c r="A60" s="11" t="s">
        <v>336</v>
      </c>
      <c r="B60" s="11" t="s">
        <v>251</v>
      </c>
      <c r="C60" s="11" t="s">
        <v>252</v>
      </c>
      <c r="D60" s="11" t="s">
        <v>249</v>
      </c>
      <c r="E60" s="11" t="s">
        <v>78</v>
      </c>
      <c r="F60" s="14" t="n">
        <v>40710</v>
      </c>
      <c r="G60" s="30" t="n">
        <v>45839</v>
      </c>
      <c r="H60" s="30" t="n">
        <v>45854</v>
      </c>
      <c r="I60" s="30" t="n">
        <v>45859</v>
      </c>
      <c r="J60" s="35" t="n">
        <v>5</v>
      </c>
      <c r="K60" s="11" t="s">
        <v>278</v>
      </c>
    </row>
    <row r="61" customFormat="false" ht="15" hidden="false" customHeight="false" outlineLevel="0" collapsed="false">
      <c r="A61" s="11" t="s">
        <v>337</v>
      </c>
      <c r="B61" s="11" t="s">
        <v>253</v>
      </c>
      <c r="C61" s="11" t="s">
        <v>254</v>
      </c>
      <c r="D61" s="11" t="s">
        <v>212</v>
      </c>
      <c r="E61" s="11" t="s">
        <v>78</v>
      </c>
      <c r="F61" s="14" t="n">
        <v>4370</v>
      </c>
      <c r="G61" s="30" t="n">
        <v>45839</v>
      </c>
      <c r="H61" s="30" t="n">
        <v>45854</v>
      </c>
      <c r="I61" s="30" t="n">
        <v>45847</v>
      </c>
      <c r="J61" s="35" t="n">
        <v>-7</v>
      </c>
      <c r="K61" s="11" t="s">
        <v>278</v>
      </c>
    </row>
    <row r="62" customFormat="false" ht="15" hidden="false" customHeight="false" outlineLevel="0" collapsed="false">
      <c r="A62" s="11" t="s">
        <v>338</v>
      </c>
      <c r="B62" s="11" t="s">
        <v>255</v>
      </c>
      <c r="C62" s="11" t="s">
        <v>256</v>
      </c>
      <c r="D62" s="11" t="s">
        <v>212</v>
      </c>
      <c r="E62" s="11" t="s">
        <v>78</v>
      </c>
      <c r="F62" s="14" t="n">
        <v>3660</v>
      </c>
      <c r="G62" s="30" t="n">
        <v>45839</v>
      </c>
      <c r="H62" s="30" t="n">
        <v>45854</v>
      </c>
      <c r="I62" s="30" t="n">
        <v>45845</v>
      </c>
      <c r="J62" s="35" t="n">
        <v>-9</v>
      </c>
      <c r="K62" s="11" t="s">
        <v>278</v>
      </c>
    </row>
    <row r="63" customFormat="false" ht="15" hidden="false" customHeight="false" outlineLevel="0" collapsed="false">
      <c r="A63" s="11" t="s">
        <v>339</v>
      </c>
      <c r="B63" s="11" t="s">
        <v>257</v>
      </c>
      <c r="C63" s="11" t="s">
        <v>258</v>
      </c>
      <c r="D63" s="11" t="s">
        <v>212</v>
      </c>
      <c r="E63" s="11" t="s">
        <v>78</v>
      </c>
      <c r="F63" s="14" t="n">
        <v>8730</v>
      </c>
      <c r="G63" s="30" t="n">
        <v>45839</v>
      </c>
      <c r="H63" s="30" t="n">
        <v>45854</v>
      </c>
      <c r="I63" s="30" t="n">
        <v>45849</v>
      </c>
      <c r="J63" s="35" t="n">
        <v>-5</v>
      </c>
      <c r="K63" s="11" t="s">
        <v>278</v>
      </c>
    </row>
    <row r="64" customFormat="false" ht="15" hidden="false" customHeight="false" outlineLevel="0" collapsed="false">
      <c r="A64" s="11" t="s">
        <v>340</v>
      </c>
      <c r="B64" s="11" t="s">
        <v>259</v>
      </c>
      <c r="C64" s="11" t="s">
        <v>260</v>
      </c>
      <c r="D64" s="11" t="s">
        <v>212</v>
      </c>
      <c r="E64" s="11" t="s">
        <v>78</v>
      </c>
      <c r="F64" s="14" t="n">
        <v>3070</v>
      </c>
      <c r="G64" s="30" t="n">
        <v>45839</v>
      </c>
      <c r="H64" s="30" t="n">
        <v>45854</v>
      </c>
      <c r="I64" s="30" t="n">
        <v>45853</v>
      </c>
      <c r="J64" s="35" t="n">
        <v>-1</v>
      </c>
      <c r="K64" s="11" t="s">
        <v>278</v>
      </c>
    </row>
    <row r="65" customFormat="false" ht="15" hidden="false" customHeight="false" outlineLevel="0" collapsed="false">
      <c r="A65" s="11" t="s">
        <v>341</v>
      </c>
      <c r="B65" s="11" t="s">
        <v>265</v>
      </c>
      <c r="C65" s="11" t="s">
        <v>266</v>
      </c>
      <c r="D65" s="11" t="s">
        <v>212</v>
      </c>
      <c r="E65" s="11" t="s">
        <v>78</v>
      </c>
      <c r="F65" s="14" t="n">
        <v>6370</v>
      </c>
      <c r="G65" s="30" t="n">
        <v>45839</v>
      </c>
      <c r="H65" s="30" t="n">
        <v>45854</v>
      </c>
      <c r="I65" s="30" t="n">
        <v>45845</v>
      </c>
      <c r="J65" s="35" t="n">
        <v>-9</v>
      </c>
      <c r="K65" s="11" t="s">
        <v>278</v>
      </c>
    </row>
    <row r="66" customFormat="false" ht="15" hidden="false" customHeight="false" outlineLevel="0" collapsed="false">
      <c r="A66" s="11" t="s">
        <v>342</v>
      </c>
      <c r="B66" s="11" t="s">
        <v>239</v>
      </c>
      <c r="C66" s="11" t="s">
        <v>240</v>
      </c>
      <c r="D66" s="11" t="s">
        <v>212</v>
      </c>
      <c r="E66" s="11" t="s">
        <v>78</v>
      </c>
      <c r="F66" s="14" t="n">
        <v>7320</v>
      </c>
      <c r="G66" s="30" t="n">
        <v>45870</v>
      </c>
      <c r="H66" s="30" t="n">
        <v>45885</v>
      </c>
      <c r="I66" s="30" t="n">
        <v>45877</v>
      </c>
      <c r="J66" s="35" t="n">
        <v>-8</v>
      </c>
      <c r="K66" s="11" t="s">
        <v>278</v>
      </c>
    </row>
    <row r="67" customFormat="false" ht="15" hidden="false" customHeight="false" outlineLevel="0" collapsed="false">
      <c r="A67" s="11" t="s">
        <v>343</v>
      </c>
      <c r="B67" s="11" t="s">
        <v>242</v>
      </c>
      <c r="C67" s="11" t="s">
        <v>243</v>
      </c>
      <c r="D67" s="11" t="s">
        <v>212</v>
      </c>
      <c r="E67" s="11" t="s">
        <v>78</v>
      </c>
      <c r="F67" s="14" t="n">
        <v>8140</v>
      </c>
      <c r="G67" s="30" t="n">
        <v>45870</v>
      </c>
      <c r="H67" s="30" t="n">
        <v>45885</v>
      </c>
      <c r="I67" s="30" t="n">
        <v>45908</v>
      </c>
      <c r="J67" s="35" t="n">
        <v>23</v>
      </c>
      <c r="K67" s="11" t="s">
        <v>278</v>
      </c>
    </row>
    <row r="68" customFormat="false" ht="15" hidden="false" customHeight="false" outlineLevel="0" collapsed="false">
      <c r="A68" s="11" t="s">
        <v>344</v>
      </c>
      <c r="B68" s="11" t="s">
        <v>244</v>
      </c>
      <c r="C68" s="11" t="s">
        <v>245</v>
      </c>
      <c r="D68" s="11" t="s">
        <v>212</v>
      </c>
      <c r="E68" s="11" t="s">
        <v>78</v>
      </c>
      <c r="F68" s="14" t="n">
        <v>4840</v>
      </c>
      <c r="G68" s="30" t="n">
        <v>45870</v>
      </c>
      <c r="H68" s="30" t="n">
        <v>45885</v>
      </c>
      <c r="I68" s="30" t="n">
        <v>45880</v>
      </c>
      <c r="J68" s="35" t="n">
        <v>-5</v>
      </c>
      <c r="K68" s="11" t="s">
        <v>278</v>
      </c>
    </row>
    <row r="69" customFormat="false" ht="15" hidden="false" customHeight="false" outlineLevel="0" collapsed="false">
      <c r="A69" s="11" t="s">
        <v>345</v>
      </c>
      <c r="B69" s="11" t="s">
        <v>253</v>
      </c>
      <c r="C69" s="11" t="s">
        <v>254</v>
      </c>
      <c r="D69" s="11" t="s">
        <v>212</v>
      </c>
      <c r="E69" s="11" t="s">
        <v>78</v>
      </c>
      <c r="F69" s="14" t="n">
        <v>4370</v>
      </c>
      <c r="G69" s="30" t="n">
        <v>45870</v>
      </c>
      <c r="H69" s="30" t="n">
        <v>45885</v>
      </c>
      <c r="I69" s="30" t="n">
        <v>45877</v>
      </c>
      <c r="J69" s="35" t="n">
        <v>-8</v>
      </c>
      <c r="K69" s="11" t="s">
        <v>278</v>
      </c>
    </row>
    <row r="70" customFormat="false" ht="15" hidden="false" customHeight="false" outlineLevel="0" collapsed="false">
      <c r="A70" s="11" t="s">
        <v>346</v>
      </c>
      <c r="B70" s="11" t="s">
        <v>255</v>
      </c>
      <c r="C70" s="11" t="s">
        <v>256</v>
      </c>
      <c r="D70" s="11" t="s">
        <v>212</v>
      </c>
      <c r="E70" s="11" t="s">
        <v>78</v>
      </c>
      <c r="F70" s="14" t="n">
        <v>3660</v>
      </c>
      <c r="G70" s="30" t="n">
        <v>45870</v>
      </c>
      <c r="H70" s="30" t="n">
        <v>45885</v>
      </c>
      <c r="I70" s="30" t="n">
        <v>45876</v>
      </c>
      <c r="J70" s="35" t="n">
        <v>-9</v>
      </c>
      <c r="K70" s="11" t="s">
        <v>278</v>
      </c>
    </row>
    <row r="71" customFormat="false" ht="15" hidden="false" customHeight="false" outlineLevel="0" collapsed="false">
      <c r="A71" s="11" t="s">
        <v>347</v>
      </c>
      <c r="B71" s="11" t="s">
        <v>257</v>
      </c>
      <c r="C71" s="11" t="s">
        <v>258</v>
      </c>
      <c r="D71" s="11" t="s">
        <v>212</v>
      </c>
      <c r="E71" s="11" t="s">
        <v>78</v>
      </c>
      <c r="F71" s="14" t="n">
        <v>8730</v>
      </c>
      <c r="G71" s="30" t="n">
        <v>45870</v>
      </c>
      <c r="H71" s="30" t="n">
        <v>45885</v>
      </c>
      <c r="I71" s="30" t="n">
        <v>45880</v>
      </c>
      <c r="J71" s="35" t="n">
        <v>-5</v>
      </c>
      <c r="K71" s="11" t="s">
        <v>278</v>
      </c>
    </row>
    <row r="72" customFormat="false" ht="15" hidden="false" customHeight="false" outlineLevel="0" collapsed="false">
      <c r="A72" s="11" t="s">
        <v>348</v>
      </c>
      <c r="B72" s="11" t="s">
        <v>259</v>
      </c>
      <c r="C72" s="11" t="s">
        <v>260</v>
      </c>
      <c r="D72" s="11" t="s">
        <v>212</v>
      </c>
      <c r="E72" s="11" t="s">
        <v>78</v>
      </c>
      <c r="F72" s="14" t="n">
        <v>3070</v>
      </c>
      <c r="G72" s="30" t="n">
        <v>45870</v>
      </c>
      <c r="H72" s="30" t="n">
        <v>45885</v>
      </c>
      <c r="I72" s="30" t="n">
        <v>45883</v>
      </c>
      <c r="J72" s="35" t="n">
        <v>-2</v>
      </c>
      <c r="K72" s="11" t="s">
        <v>278</v>
      </c>
    </row>
    <row r="73" customFormat="false" ht="15" hidden="false" customHeight="false" outlineLevel="0" collapsed="false">
      <c r="A73" s="11" t="s">
        <v>349</v>
      </c>
      <c r="B73" s="11" t="s">
        <v>265</v>
      </c>
      <c r="C73" s="11" t="s">
        <v>266</v>
      </c>
      <c r="D73" s="11" t="s">
        <v>212</v>
      </c>
      <c r="E73" s="11" t="s">
        <v>78</v>
      </c>
      <c r="F73" s="14" t="n">
        <v>6370</v>
      </c>
      <c r="G73" s="30" t="n">
        <v>45870</v>
      </c>
      <c r="H73" s="30" t="n">
        <v>45885</v>
      </c>
      <c r="I73" s="30" t="n">
        <v>45882</v>
      </c>
      <c r="J73" s="35" t="n">
        <v>-3</v>
      </c>
      <c r="K73" s="11" t="s">
        <v>278</v>
      </c>
    </row>
    <row r="74" customFormat="false" ht="15" hidden="false" customHeight="false" outlineLevel="0" collapsed="false">
      <c r="A74" s="11" t="s">
        <v>350</v>
      </c>
      <c r="B74" s="11" t="s">
        <v>239</v>
      </c>
      <c r="C74" s="11" t="s">
        <v>240</v>
      </c>
      <c r="D74" s="11" t="s">
        <v>212</v>
      </c>
      <c r="E74" s="11" t="s">
        <v>78</v>
      </c>
      <c r="F74" s="14" t="n">
        <v>7320</v>
      </c>
      <c r="G74" s="30" t="n">
        <v>45901</v>
      </c>
      <c r="H74" s="30" t="n">
        <v>45916</v>
      </c>
      <c r="I74" s="30" t="n">
        <v>45915</v>
      </c>
      <c r="J74" s="35" t="n">
        <v>-1</v>
      </c>
      <c r="K74" s="11" t="s">
        <v>278</v>
      </c>
    </row>
    <row r="75" customFormat="false" ht="15" hidden="false" customHeight="false" outlineLevel="0" collapsed="false">
      <c r="A75" s="11" t="s">
        <v>351</v>
      </c>
      <c r="B75" s="11" t="s">
        <v>242</v>
      </c>
      <c r="C75" s="11" t="s">
        <v>243</v>
      </c>
      <c r="D75" s="11" t="s">
        <v>212</v>
      </c>
      <c r="E75" s="11" t="s">
        <v>78</v>
      </c>
      <c r="F75" s="14" t="n">
        <v>8140</v>
      </c>
      <c r="G75" s="30" t="n">
        <v>45901</v>
      </c>
      <c r="H75" s="30" t="n">
        <v>45916</v>
      </c>
      <c r="I75" s="30" t="n">
        <v>45959</v>
      </c>
      <c r="J75" s="35" t="n">
        <v>43</v>
      </c>
      <c r="K75" s="11" t="s">
        <v>278</v>
      </c>
    </row>
    <row r="76" customFormat="false" ht="15" hidden="false" customHeight="false" outlineLevel="0" collapsed="false">
      <c r="A76" s="11" t="s">
        <v>352</v>
      </c>
      <c r="B76" s="11" t="s">
        <v>244</v>
      </c>
      <c r="C76" s="11" t="s">
        <v>245</v>
      </c>
      <c r="D76" s="11" t="s">
        <v>212</v>
      </c>
      <c r="E76" s="11" t="s">
        <v>78</v>
      </c>
      <c r="F76" s="14" t="n">
        <v>4840</v>
      </c>
      <c r="G76" s="30" t="n">
        <v>45901</v>
      </c>
      <c r="H76" s="30" t="n">
        <v>45916</v>
      </c>
      <c r="I76" s="30" t="n">
        <v>45915</v>
      </c>
      <c r="J76" s="35" t="n">
        <v>-1</v>
      </c>
      <c r="K76" s="11" t="s">
        <v>278</v>
      </c>
    </row>
    <row r="77" customFormat="false" ht="15" hidden="false" customHeight="false" outlineLevel="0" collapsed="false">
      <c r="A77" s="11" t="s">
        <v>353</v>
      </c>
      <c r="B77" s="11" t="s">
        <v>253</v>
      </c>
      <c r="C77" s="11" t="s">
        <v>254</v>
      </c>
      <c r="D77" s="11" t="s">
        <v>212</v>
      </c>
      <c r="E77" s="11" t="s">
        <v>78</v>
      </c>
      <c r="F77" s="14" t="n">
        <v>4370</v>
      </c>
      <c r="G77" s="30" t="n">
        <v>45901</v>
      </c>
      <c r="H77" s="30" t="n">
        <v>45916</v>
      </c>
      <c r="I77" s="30" t="n">
        <v>45915</v>
      </c>
      <c r="J77" s="35" t="n">
        <v>-1</v>
      </c>
      <c r="K77" s="11" t="s">
        <v>278</v>
      </c>
    </row>
    <row r="78" customFormat="false" ht="15" hidden="false" customHeight="false" outlineLevel="0" collapsed="false">
      <c r="A78" s="11" t="s">
        <v>354</v>
      </c>
      <c r="B78" s="11" t="s">
        <v>255</v>
      </c>
      <c r="C78" s="11" t="s">
        <v>256</v>
      </c>
      <c r="D78" s="11" t="s">
        <v>212</v>
      </c>
      <c r="E78" s="11" t="s">
        <v>78</v>
      </c>
      <c r="F78" s="14" t="n">
        <v>3660</v>
      </c>
      <c r="G78" s="30" t="n">
        <v>45901</v>
      </c>
      <c r="H78" s="30" t="n">
        <v>45916</v>
      </c>
      <c r="I78" s="30" t="n">
        <v>45908</v>
      </c>
      <c r="J78" s="35" t="n">
        <v>-8</v>
      </c>
      <c r="K78" s="11" t="s">
        <v>278</v>
      </c>
    </row>
    <row r="79" customFormat="false" ht="15" hidden="false" customHeight="false" outlineLevel="0" collapsed="false">
      <c r="A79" s="11" t="s">
        <v>355</v>
      </c>
      <c r="B79" s="11" t="s">
        <v>257</v>
      </c>
      <c r="C79" s="11" t="s">
        <v>258</v>
      </c>
      <c r="D79" s="11" t="s">
        <v>212</v>
      </c>
      <c r="E79" s="11" t="s">
        <v>78</v>
      </c>
      <c r="F79" s="14" t="n">
        <v>8730</v>
      </c>
      <c r="G79" s="30" t="n">
        <v>45901</v>
      </c>
      <c r="H79" s="30" t="n">
        <v>45916</v>
      </c>
      <c r="I79" s="30" t="n">
        <v>45915</v>
      </c>
      <c r="J79" s="35" t="n">
        <v>-1</v>
      </c>
      <c r="K79" s="11" t="s">
        <v>278</v>
      </c>
    </row>
    <row r="80" customFormat="false" ht="15" hidden="false" customHeight="false" outlineLevel="0" collapsed="false">
      <c r="A80" s="11" t="s">
        <v>356</v>
      </c>
      <c r="B80" s="11" t="s">
        <v>259</v>
      </c>
      <c r="C80" s="11" t="s">
        <v>260</v>
      </c>
      <c r="D80" s="11" t="s">
        <v>212</v>
      </c>
      <c r="E80" s="11" t="s">
        <v>78</v>
      </c>
      <c r="F80" s="14" t="n">
        <v>3070</v>
      </c>
      <c r="G80" s="30" t="n">
        <v>45901</v>
      </c>
      <c r="H80" s="30" t="n">
        <v>45916</v>
      </c>
      <c r="I80" s="30" t="n">
        <v>45908</v>
      </c>
      <c r="J80" s="35" t="n">
        <v>-8</v>
      </c>
      <c r="K80" s="11" t="s">
        <v>278</v>
      </c>
    </row>
    <row r="81" customFormat="false" ht="15" hidden="false" customHeight="false" outlineLevel="0" collapsed="false">
      <c r="A81" s="11" t="s">
        <v>357</v>
      </c>
      <c r="B81" s="11" t="s">
        <v>261</v>
      </c>
      <c r="C81" s="11" t="s">
        <v>262</v>
      </c>
      <c r="D81" s="11" t="s">
        <v>212</v>
      </c>
      <c r="E81" s="11" t="s">
        <v>78</v>
      </c>
      <c r="F81" s="14" t="n">
        <v>6140</v>
      </c>
      <c r="G81" s="30" t="n">
        <v>45901</v>
      </c>
      <c r="H81" s="30" t="n">
        <v>45916</v>
      </c>
      <c r="I81" s="30" t="n">
        <v>45912</v>
      </c>
      <c r="J81" s="35" t="n">
        <v>-4</v>
      </c>
      <c r="K81" s="11" t="s">
        <v>278</v>
      </c>
    </row>
    <row r="82" customFormat="false" ht="15" hidden="false" customHeight="false" outlineLevel="0" collapsed="false">
      <c r="A82" s="11" t="s">
        <v>358</v>
      </c>
      <c r="B82" s="11" t="s">
        <v>265</v>
      </c>
      <c r="C82" s="11" t="s">
        <v>266</v>
      </c>
      <c r="D82" s="11" t="s">
        <v>212</v>
      </c>
      <c r="E82" s="11" t="s">
        <v>78</v>
      </c>
      <c r="F82" s="14" t="n">
        <v>6370</v>
      </c>
      <c r="G82" s="30" t="n">
        <v>45901</v>
      </c>
      <c r="H82" s="30" t="n">
        <v>45916</v>
      </c>
      <c r="I82" s="30" t="n">
        <v>45915</v>
      </c>
      <c r="J82" s="35" t="n">
        <v>-1</v>
      </c>
      <c r="K82" s="11" t="s">
        <v>278</v>
      </c>
    </row>
    <row r="83" customFormat="false" ht="15" hidden="false" customHeight="false" outlineLevel="0" collapsed="false">
      <c r="A83" s="11" t="s">
        <v>359</v>
      </c>
      <c r="B83" s="11" t="s">
        <v>239</v>
      </c>
      <c r="C83" s="11" t="s">
        <v>240</v>
      </c>
      <c r="D83" s="11" t="s">
        <v>212</v>
      </c>
      <c r="E83" s="11" t="s">
        <v>78</v>
      </c>
      <c r="F83" s="14" t="n">
        <v>7320</v>
      </c>
      <c r="G83" s="30" t="n">
        <v>45931</v>
      </c>
      <c r="H83" s="30" t="n">
        <v>45946</v>
      </c>
      <c r="I83" s="30" t="n">
        <v>45943</v>
      </c>
      <c r="J83" s="35" t="n">
        <v>-3</v>
      </c>
      <c r="K83" s="11" t="s">
        <v>278</v>
      </c>
    </row>
    <row r="84" customFormat="false" ht="15" hidden="false" customHeight="false" outlineLevel="0" collapsed="false">
      <c r="A84" s="11" t="s">
        <v>360</v>
      </c>
      <c r="B84" s="11" t="s">
        <v>242</v>
      </c>
      <c r="C84" s="11" t="s">
        <v>243</v>
      </c>
      <c r="D84" s="11" t="s">
        <v>212</v>
      </c>
      <c r="E84" s="11" t="s">
        <v>78</v>
      </c>
      <c r="F84" s="14" t="n">
        <v>8140</v>
      </c>
      <c r="G84" s="30" t="n">
        <v>45931</v>
      </c>
      <c r="H84" s="30" t="n">
        <v>45946</v>
      </c>
      <c r="I84" s="30" t="n">
        <v>45985</v>
      </c>
      <c r="J84" s="35" t="n">
        <v>39</v>
      </c>
      <c r="K84" s="11" t="s">
        <v>278</v>
      </c>
    </row>
    <row r="85" customFormat="false" ht="15" hidden="false" customHeight="false" outlineLevel="0" collapsed="false">
      <c r="A85" s="11" t="s">
        <v>361</v>
      </c>
      <c r="B85" s="11" t="s">
        <v>244</v>
      </c>
      <c r="C85" s="11" t="s">
        <v>245</v>
      </c>
      <c r="D85" s="11" t="s">
        <v>212</v>
      </c>
      <c r="E85" s="11" t="s">
        <v>78</v>
      </c>
      <c r="F85" s="14" t="n">
        <v>4840</v>
      </c>
      <c r="G85" s="30" t="n">
        <v>45931</v>
      </c>
      <c r="H85" s="30" t="n">
        <v>45946</v>
      </c>
      <c r="I85" s="30" t="n">
        <v>45943</v>
      </c>
      <c r="J85" s="35" t="n">
        <v>-3</v>
      </c>
      <c r="K85" s="11" t="s">
        <v>278</v>
      </c>
    </row>
    <row r="86" customFormat="false" ht="15" hidden="false" customHeight="false" outlineLevel="0" collapsed="false">
      <c r="A86" s="11" t="s">
        <v>362</v>
      </c>
      <c r="B86" s="11" t="s">
        <v>253</v>
      </c>
      <c r="C86" s="11" t="s">
        <v>254</v>
      </c>
      <c r="D86" s="11" t="s">
        <v>212</v>
      </c>
      <c r="E86" s="11" t="s">
        <v>78</v>
      </c>
      <c r="F86" s="14" t="n">
        <v>4370</v>
      </c>
      <c r="G86" s="30" t="n">
        <v>45931</v>
      </c>
      <c r="H86" s="30" t="n">
        <v>45946</v>
      </c>
      <c r="I86" s="30" t="n">
        <v>45938</v>
      </c>
      <c r="J86" s="35" t="n">
        <v>-8</v>
      </c>
      <c r="K86" s="11" t="s">
        <v>278</v>
      </c>
    </row>
    <row r="87" customFormat="false" ht="15" hidden="false" customHeight="false" outlineLevel="0" collapsed="false">
      <c r="A87" s="11" t="s">
        <v>363</v>
      </c>
      <c r="B87" s="11" t="s">
        <v>255</v>
      </c>
      <c r="C87" s="11" t="s">
        <v>256</v>
      </c>
      <c r="D87" s="11" t="s">
        <v>212</v>
      </c>
      <c r="E87" s="11" t="s">
        <v>78</v>
      </c>
      <c r="F87" s="14" t="n">
        <v>3660</v>
      </c>
      <c r="G87" s="30" t="n">
        <v>45931</v>
      </c>
      <c r="H87" s="30" t="n">
        <v>45946</v>
      </c>
      <c r="I87" s="30" t="n">
        <v>45936</v>
      </c>
      <c r="J87" s="35" t="n">
        <v>-10</v>
      </c>
      <c r="K87" s="11" t="s">
        <v>278</v>
      </c>
    </row>
    <row r="88" customFormat="false" ht="15" hidden="false" customHeight="false" outlineLevel="0" collapsed="false">
      <c r="A88" s="11" t="s">
        <v>364</v>
      </c>
      <c r="B88" s="11" t="s">
        <v>257</v>
      </c>
      <c r="C88" s="11" t="s">
        <v>258</v>
      </c>
      <c r="D88" s="11" t="s">
        <v>212</v>
      </c>
      <c r="E88" s="11" t="s">
        <v>78</v>
      </c>
      <c r="F88" s="14" t="n">
        <v>8730</v>
      </c>
      <c r="G88" s="30" t="n">
        <v>45931</v>
      </c>
      <c r="H88" s="30" t="n">
        <v>45946</v>
      </c>
      <c r="I88" s="30" t="n">
        <v>45943</v>
      </c>
      <c r="J88" s="35" t="n">
        <v>-3</v>
      </c>
      <c r="K88" s="11" t="s">
        <v>278</v>
      </c>
    </row>
    <row r="89" customFormat="false" ht="15" hidden="false" customHeight="false" outlineLevel="0" collapsed="false">
      <c r="A89" s="11" t="s">
        <v>365</v>
      </c>
      <c r="B89" s="11" t="s">
        <v>259</v>
      </c>
      <c r="C89" s="11" t="s">
        <v>260</v>
      </c>
      <c r="D89" s="11" t="s">
        <v>212</v>
      </c>
      <c r="E89" s="11" t="s">
        <v>78</v>
      </c>
      <c r="F89" s="14" t="n">
        <v>3070</v>
      </c>
      <c r="G89" s="30" t="n">
        <v>45931</v>
      </c>
      <c r="H89" s="30" t="n">
        <v>45946</v>
      </c>
      <c r="I89" s="30" t="n">
        <v>45936</v>
      </c>
      <c r="J89" s="35" t="n">
        <v>-10</v>
      </c>
      <c r="K89" s="11" t="s">
        <v>278</v>
      </c>
    </row>
    <row r="90" customFormat="false" ht="15" hidden="false" customHeight="false" outlineLevel="0" collapsed="false">
      <c r="A90" s="11" t="s">
        <v>366</v>
      </c>
      <c r="B90" s="11" t="s">
        <v>261</v>
      </c>
      <c r="C90" s="11" t="s">
        <v>262</v>
      </c>
      <c r="D90" s="11" t="s">
        <v>212</v>
      </c>
      <c r="E90" s="11" t="s">
        <v>78</v>
      </c>
      <c r="F90" s="14" t="n">
        <v>6140</v>
      </c>
      <c r="G90" s="30" t="n">
        <v>45931</v>
      </c>
      <c r="H90" s="30" t="n">
        <v>45946</v>
      </c>
      <c r="I90" s="30" t="n">
        <v>45943</v>
      </c>
      <c r="J90" s="35" t="n">
        <v>-3</v>
      </c>
      <c r="K90" s="11" t="s">
        <v>278</v>
      </c>
    </row>
    <row r="91" customFormat="false" ht="15" hidden="false" customHeight="false" outlineLevel="0" collapsed="false">
      <c r="A91" s="11" t="s">
        <v>367</v>
      </c>
      <c r="B91" s="11" t="s">
        <v>265</v>
      </c>
      <c r="C91" s="11" t="s">
        <v>266</v>
      </c>
      <c r="D91" s="11" t="s">
        <v>212</v>
      </c>
      <c r="E91" s="11" t="s">
        <v>78</v>
      </c>
      <c r="F91" s="14" t="n">
        <v>6370</v>
      </c>
      <c r="G91" s="30" t="n">
        <v>45931</v>
      </c>
      <c r="H91" s="30" t="n">
        <v>45946</v>
      </c>
      <c r="I91" s="30" t="n">
        <v>45943</v>
      </c>
      <c r="J91" s="35" t="n">
        <v>-3</v>
      </c>
      <c r="K91" s="11" t="s">
        <v>278</v>
      </c>
    </row>
    <row r="92" customFormat="false" ht="15" hidden="false" customHeight="false" outlineLevel="0" collapsed="false">
      <c r="A92" s="11" t="s">
        <v>368</v>
      </c>
      <c r="B92" s="11" t="s">
        <v>239</v>
      </c>
      <c r="C92" s="11" t="s">
        <v>240</v>
      </c>
      <c r="D92" s="11" t="s">
        <v>212</v>
      </c>
      <c r="E92" s="11" t="s">
        <v>78</v>
      </c>
      <c r="F92" s="14" t="n">
        <v>7320</v>
      </c>
      <c r="G92" s="30" t="n">
        <v>45964</v>
      </c>
      <c r="H92" s="30" t="n">
        <v>45979</v>
      </c>
      <c r="I92" s="30" t="n">
        <v>45971</v>
      </c>
      <c r="J92" s="35" t="n">
        <v>-8</v>
      </c>
      <c r="K92" s="11" t="s">
        <v>278</v>
      </c>
    </row>
    <row r="93" customFormat="false" ht="15" hidden="false" customHeight="false" outlineLevel="0" collapsed="false">
      <c r="A93" s="11" t="s">
        <v>369</v>
      </c>
      <c r="B93" s="11" t="s">
        <v>242</v>
      </c>
      <c r="C93" s="11" t="s">
        <v>243</v>
      </c>
      <c r="D93" s="11" t="s">
        <v>212</v>
      </c>
      <c r="E93" s="11" t="s">
        <v>78</v>
      </c>
      <c r="F93" s="14" t="n">
        <v>8140</v>
      </c>
      <c r="G93" s="30" t="n">
        <v>45964</v>
      </c>
      <c r="H93" s="30" t="n">
        <v>45979</v>
      </c>
      <c r="I93" s="30" t="n">
        <v>46006</v>
      </c>
      <c r="J93" s="35" t="n">
        <v>27</v>
      </c>
      <c r="K93" s="11" t="s">
        <v>278</v>
      </c>
    </row>
    <row r="94" customFormat="false" ht="15" hidden="false" customHeight="false" outlineLevel="0" collapsed="false">
      <c r="A94" s="11" t="s">
        <v>370</v>
      </c>
      <c r="B94" s="11" t="s">
        <v>244</v>
      </c>
      <c r="C94" s="11" t="s">
        <v>245</v>
      </c>
      <c r="D94" s="11" t="s">
        <v>212</v>
      </c>
      <c r="E94" s="11" t="s">
        <v>78</v>
      </c>
      <c r="F94" s="14" t="n">
        <v>4840</v>
      </c>
      <c r="G94" s="30" t="n">
        <v>45964</v>
      </c>
      <c r="H94" s="30" t="n">
        <v>45979</v>
      </c>
      <c r="I94" s="30" t="n">
        <v>45978</v>
      </c>
      <c r="J94" s="35" t="n">
        <v>-1</v>
      </c>
      <c r="K94" s="11" t="s">
        <v>278</v>
      </c>
    </row>
    <row r="95" customFormat="false" ht="15" hidden="false" customHeight="false" outlineLevel="0" collapsed="false">
      <c r="A95" s="11" t="s">
        <v>371</v>
      </c>
      <c r="B95" s="11" t="s">
        <v>253</v>
      </c>
      <c r="C95" s="11" t="s">
        <v>254</v>
      </c>
      <c r="D95" s="11" t="s">
        <v>212</v>
      </c>
      <c r="E95" s="11" t="s">
        <v>78</v>
      </c>
      <c r="F95" s="14" t="n">
        <v>4370</v>
      </c>
      <c r="G95" s="30" t="n">
        <v>45964</v>
      </c>
      <c r="H95" s="30" t="n">
        <v>45979</v>
      </c>
      <c r="I95" s="30" t="n">
        <v>45978</v>
      </c>
      <c r="J95" s="35" t="n">
        <v>-1</v>
      </c>
      <c r="K95" s="11" t="s">
        <v>278</v>
      </c>
    </row>
    <row r="96" customFormat="false" ht="15" hidden="false" customHeight="false" outlineLevel="0" collapsed="false">
      <c r="A96" s="11" t="s">
        <v>372</v>
      </c>
      <c r="B96" s="11" t="s">
        <v>255</v>
      </c>
      <c r="C96" s="11" t="s">
        <v>256</v>
      </c>
      <c r="D96" s="11" t="s">
        <v>212</v>
      </c>
      <c r="E96" s="11" t="s">
        <v>78</v>
      </c>
      <c r="F96" s="14" t="n">
        <v>3660</v>
      </c>
      <c r="G96" s="30" t="n">
        <v>45964</v>
      </c>
      <c r="H96" s="30" t="n">
        <v>45979</v>
      </c>
      <c r="I96" s="30" t="n">
        <v>45978</v>
      </c>
      <c r="J96" s="35" t="n">
        <v>-1</v>
      </c>
      <c r="K96" s="11" t="s">
        <v>278</v>
      </c>
    </row>
    <row r="97" customFormat="false" ht="15" hidden="false" customHeight="false" outlineLevel="0" collapsed="false">
      <c r="A97" s="11" t="s">
        <v>373</v>
      </c>
      <c r="B97" s="11" t="s">
        <v>257</v>
      </c>
      <c r="C97" s="11" t="s">
        <v>258</v>
      </c>
      <c r="D97" s="11" t="s">
        <v>212</v>
      </c>
      <c r="E97" s="11" t="s">
        <v>78</v>
      </c>
      <c r="F97" s="14" t="n">
        <v>8730</v>
      </c>
      <c r="G97" s="30" t="n">
        <v>45964</v>
      </c>
      <c r="H97" s="30" t="n">
        <v>45979</v>
      </c>
      <c r="I97" s="30" t="n">
        <v>45973</v>
      </c>
      <c r="J97" s="35" t="n">
        <v>-6</v>
      </c>
      <c r="K97" s="11" t="s">
        <v>278</v>
      </c>
    </row>
    <row r="98" customFormat="false" ht="15" hidden="false" customHeight="false" outlineLevel="0" collapsed="false">
      <c r="A98" s="11" t="s">
        <v>374</v>
      </c>
      <c r="B98" s="11" t="s">
        <v>259</v>
      </c>
      <c r="C98" s="11" t="s">
        <v>260</v>
      </c>
      <c r="D98" s="11" t="s">
        <v>212</v>
      </c>
      <c r="E98" s="11" t="s">
        <v>78</v>
      </c>
      <c r="F98" s="14" t="n">
        <v>3070</v>
      </c>
      <c r="G98" s="30" t="n">
        <v>45964</v>
      </c>
      <c r="H98" s="30" t="n">
        <v>45979</v>
      </c>
      <c r="I98" s="30" t="n">
        <v>45978</v>
      </c>
      <c r="J98" s="35" t="n">
        <v>-1</v>
      </c>
      <c r="K98" s="11" t="s">
        <v>278</v>
      </c>
    </row>
    <row r="99" customFormat="false" ht="15" hidden="false" customHeight="false" outlineLevel="0" collapsed="false">
      <c r="A99" s="11" t="s">
        <v>375</v>
      </c>
      <c r="B99" s="11" t="s">
        <v>261</v>
      </c>
      <c r="C99" s="11" t="s">
        <v>262</v>
      </c>
      <c r="D99" s="11" t="s">
        <v>212</v>
      </c>
      <c r="E99" s="11" t="s">
        <v>78</v>
      </c>
      <c r="F99" s="14" t="n">
        <v>6140</v>
      </c>
      <c r="G99" s="30" t="n">
        <v>45964</v>
      </c>
      <c r="H99" s="30" t="n">
        <v>45979</v>
      </c>
      <c r="I99" s="30" t="n">
        <v>45971</v>
      </c>
      <c r="J99" s="35" t="n">
        <v>-8</v>
      </c>
      <c r="K99" s="11" t="s">
        <v>278</v>
      </c>
    </row>
    <row r="100" customFormat="false" ht="15" hidden="false" customHeight="false" outlineLevel="0" collapsed="false">
      <c r="A100" s="11" t="s">
        <v>376</v>
      </c>
      <c r="B100" s="11" t="s">
        <v>265</v>
      </c>
      <c r="C100" s="11" t="s">
        <v>266</v>
      </c>
      <c r="D100" s="11" t="s">
        <v>212</v>
      </c>
      <c r="E100" s="11" t="s">
        <v>78</v>
      </c>
      <c r="F100" s="14" t="n">
        <v>6370</v>
      </c>
      <c r="G100" s="30" t="n">
        <v>45964</v>
      </c>
      <c r="H100" s="30" t="n">
        <v>45979</v>
      </c>
      <c r="I100" s="30" t="n">
        <v>45971</v>
      </c>
      <c r="J100" s="35" t="n">
        <v>-8</v>
      </c>
      <c r="K100" s="11" t="s">
        <v>278</v>
      </c>
    </row>
    <row r="101" customFormat="false" ht="15" hidden="false" customHeight="false" outlineLevel="0" collapsed="false">
      <c r="A101" s="11" t="s">
        <v>377</v>
      </c>
      <c r="B101" s="11" t="s">
        <v>239</v>
      </c>
      <c r="C101" s="11" t="s">
        <v>240</v>
      </c>
      <c r="D101" s="11" t="s">
        <v>212</v>
      </c>
      <c r="E101" s="11" t="s">
        <v>78</v>
      </c>
      <c r="F101" s="14" t="n">
        <v>7320</v>
      </c>
      <c r="G101" s="30" t="n">
        <v>45992</v>
      </c>
      <c r="H101" s="30" t="n">
        <v>46007</v>
      </c>
      <c r="I101" s="30" t="n">
        <v>46002</v>
      </c>
      <c r="J101" s="35" t="n">
        <v>-5</v>
      </c>
      <c r="K101" s="11" t="s">
        <v>278</v>
      </c>
    </row>
    <row r="102" customFormat="false" ht="15" hidden="false" customHeight="false" outlineLevel="0" collapsed="false">
      <c r="A102" s="11" t="s">
        <v>378</v>
      </c>
      <c r="B102" s="11" t="s">
        <v>242</v>
      </c>
      <c r="C102" s="11" t="s">
        <v>243</v>
      </c>
      <c r="D102" s="11" t="s">
        <v>212</v>
      </c>
      <c r="E102" s="11" t="s">
        <v>78</v>
      </c>
      <c r="F102" s="14" t="n">
        <v>8140</v>
      </c>
      <c r="G102" s="30" t="n">
        <v>45992</v>
      </c>
      <c r="H102" s="30" t="n">
        <v>46007</v>
      </c>
      <c r="I102" s="30" t="n">
        <v>46029</v>
      </c>
      <c r="J102" s="35" t="n">
        <v>22</v>
      </c>
      <c r="K102" s="11" t="s">
        <v>278</v>
      </c>
    </row>
    <row r="103" customFormat="false" ht="15" hidden="false" customHeight="false" outlineLevel="0" collapsed="false">
      <c r="A103" s="11" t="s">
        <v>379</v>
      </c>
      <c r="B103" s="11" t="s">
        <v>244</v>
      </c>
      <c r="C103" s="11" t="s">
        <v>245</v>
      </c>
      <c r="D103" s="11" t="s">
        <v>212</v>
      </c>
      <c r="E103" s="11" t="s">
        <v>78</v>
      </c>
      <c r="F103" s="14" t="n">
        <v>4840</v>
      </c>
      <c r="G103" s="30" t="n">
        <v>45992</v>
      </c>
      <c r="H103" s="30" t="n">
        <v>46007</v>
      </c>
      <c r="I103" s="30" t="n">
        <v>46001</v>
      </c>
      <c r="J103" s="35" t="n">
        <v>-6</v>
      </c>
      <c r="K103" s="11" t="s">
        <v>278</v>
      </c>
    </row>
    <row r="104" customFormat="false" ht="15" hidden="false" customHeight="false" outlineLevel="0" collapsed="false">
      <c r="A104" s="11" t="s">
        <v>380</v>
      </c>
      <c r="B104" s="11" t="s">
        <v>253</v>
      </c>
      <c r="C104" s="11" t="s">
        <v>254</v>
      </c>
      <c r="D104" s="11" t="s">
        <v>212</v>
      </c>
      <c r="E104" s="11" t="s">
        <v>78</v>
      </c>
      <c r="F104" s="14" t="n">
        <v>4370</v>
      </c>
      <c r="G104" s="30" t="n">
        <v>45992</v>
      </c>
      <c r="H104" s="30" t="n">
        <v>46007</v>
      </c>
      <c r="I104" s="30" t="n">
        <v>46002</v>
      </c>
      <c r="J104" s="35" t="n">
        <v>-5</v>
      </c>
      <c r="K104" s="11" t="s">
        <v>278</v>
      </c>
    </row>
    <row r="105" customFormat="false" ht="15" hidden="false" customHeight="false" outlineLevel="0" collapsed="false">
      <c r="A105" s="11" t="s">
        <v>381</v>
      </c>
      <c r="B105" s="11" t="s">
        <v>255</v>
      </c>
      <c r="C105" s="11" t="s">
        <v>256</v>
      </c>
      <c r="D105" s="11" t="s">
        <v>212</v>
      </c>
      <c r="E105" s="11" t="s">
        <v>78</v>
      </c>
      <c r="F105" s="14" t="n">
        <v>3660</v>
      </c>
      <c r="G105" s="30" t="n">
        <v>45992</v>
      </c>
      <c r="H105" s="30" t="n">
        <v>46007</v>
      </c>
      <c r="I105" s="30" t="n">
        <v>45999</v>
      </c>
      <c r="J105" s="35" t="n">
        <v>-8</v>
      </c>
      <c r="K105" s="11" t="s">
        <v>278</v>
      </c>
    </row>
    <row r="106" customFormat="false" ht="15" hidden="false" customHeight="false" outlineLevel="0" collapsed="false">
      <c r="A106" s="11" t="s">
        <v>382</v>
      </c>
      <c r="B106" s="11" t="s">
        <v>257</v>
      </c>
      <c r="C106" s="11" t="s">
        <v>258</v>
      </c>
      <c r="D106" s="11" t="s">
        <v>212</v>
      </c>
      <c r="E106" s="11" t="s">
        <v>78</v>
      </c>
      <c r="F106" s="14" t="n">
        <v>8730</v>
      </c>
      <c r="G106" s="30" t="n">
        <v>45992</v>
      </c>
      <c r="H106" s="30" t="n">
        <v>46007</v>
      </c>
      <c r="I106" s="30" t="n">
        <v>45999</v>
      </c>
      <c r="J106" s="35" t="n">
        <v>-8</v>
      </c>
      <c r="K106" s="11" t="s">
        <v>278</v>
      </c>
    </row>
    <row r="107" customFormat="false" ht="15" hidden="false" customHeight="false" outlineLevel="0" collapsed="false">
      <c r="A107" s="11" t="s">
        <v>383</v>
      </c>
      <c r="B107" s="11" t="s">
        <v>259</v>
      </c>
      <c r="C107" s="11" t="s">
        <v>260</v>
      </c>
      <c r="D107" s="11" t="s">
        <v>212</v>
      </c>
      <c r="E107" s="11" t="s">
        <v>78</v>
      </c>
      <c r="F107" s="14" t="n">
        <v>3070</v>
      </c>
      <c r="G107" s="30" t="n">
        <v>45992</v>
      </c>
      <c r="H107" s="30" t="n">
        <v>46007</v>
      </c>
      <c r="I107" s="30" t="n">
        <v>45999</v>
      </c>
      <c r="J107" s="35" t="n">
        <v>-8</v>
      </c>
      <c r="K107" s="11" t="s">
        <v>278</v>
      </c>
    </row>
    <row r="108" customFormat="false" ht="15" hidden="false" customHeight="false" outlineLevel="0" collapsed="false">
      <c r="A108" s="11" t="s">
        <v>384</v>
      </c>
      <c r="B108" s="11" t="s">
        <v>261</v>
      </c>
      <c r="C108" s="11" t="s">
        <v>262</v>
      </c>
      <c r="D108" s="11" t="s">
        <v>212</v>
      </c>
      <c r="E108" s="11" t="s">
        <v>78</v>
      </c>
      <c r="F108" s="14" t="n">
        <v>6140</v>
      </c>
      <c r="G108" s="30" t="n">
        <v>45992</v>
      </c>
      <c r="H108" s="30" t="n">
        <v>46007</v>
      </c>
      <c r="I108" s="30" t="n">
        <v>46006</v>
      </c>
      <c r="J108" s="35" t="n">
        <v>-1</v>
      </c>
      <c r="K108" s="11" t="s">
        <v>278</v>
      </c>
    </row>
    <row r="109" customFormat="false" ht="15" hidden="false" customHeight="false" outlineLevel="0" collapsed="false">
      <c r="A109" s="11" t="s">
        <v>385</v>
      </c>
      <c r="B109" s="11" t="s">
        <v>265</v>
      </c>
      <c r="C109" s="11" t="s">
        <v>266</v>
      </c>
      <c r="D109" s="11" t="s">
        <v>212</v>
      </c>
      <c r="E109" s="11" t="s">
        <v>78</v>
      </c>
      <c r="F109" s="14" t="n">
        <v>6370</v>
      </c>
      <c r="G109" s="30" t="n">
        <v>45992</v>
      </c>
      <c r="H109" s="30" t="n">
        <v>46007</v>
      </c>
      <c r="I109" s="30" t="n">
        <v>46000</v>
      </c>
      <c r="J109" s="35" t="n">
        <v>-7</v>
      </c>
      <c r="K109" s="11" t="s">
        <v>278</v>
      </c>
    </row>
    <row r="110" customFormat="false" ht="15" hidden="false" customHeight="false" outlineLevel="0" collapsed="false">
      <c r="A110" s="11" t="s">
        <v>386</v>
      </c>
      <c r="B110" s="11" t="s">
        <v>239</v>
      </c>
      <c r="C110" s="11" t="s">
        <v>240</v>
      </c>
      <c r="D110" s="11" t="s">
        <v>212</v>
      </c>
      <c r="E110" s="11" t="s">
        <v>78</v>
      </c>
      <c r="F110" s="14" t="n">
        <v>7760</v>
      </c>
      <c r="G110" s="30" t="n">
        <v>46023</v>
      </c>
      <c r="H110" s="30" t="n">
        <v>46038</v>
      </c>
      <c r="I110" s="30" t="n">
        <v>46034</v>
      </c>
      <c r="J110" s="35" t="n">
        <v>-4</v>
      </c>
      <c r="K110" s="11" t="s">
        <v>278</v>
      </c>
    </row>
    <row r="111" customFormat="false" ht="15" hidden="false" customHeight="false" outlineLevel="0" collapsed="false">
      <c r="A111" s="11" t="s">
        <v>387</v>
      </c>
      <c r="B111" s="11" t="s">
        <v>242</v>
      </c>
      <c r="C111" s="11" t="s">
        <v>243</v>
      </c>
      <c r="D111" s="11" t="s">
        <v>212</v>
      </c>
      <c r="E111" s="11" t="s">
        <v>78</v>
      </c>
      <c r="F111" s="14" t="n">
        <v>8630</v>
      </c>
      <c r="G111" s="30" t="n">
        <v>46023</v>
      </c>
      <c r="H111" s="30" t="n">
        <v>46038</v>
      </c>
      <c r="I111" s="30" t="n">
        <v>46069</v>
      </c>
      <c r="J111" s="35" t="n">
        <v>31</v>
      </c>
      <c r="K111" s="11" t="s">
        <v>278</v>
      </c>
    </row>
    <row r="112" customFormat="false" ht="15" hidden="false" customHeight="false" outlineLevel="0" collapsed="false">
      <c r="A112" s="11" t="s">
        <v>388</v>
      </c>
      <c r="B112" s="11" t="s">
        <v>244</v>
      </c>
      <c r="C112" s="11" t="s">
        <v>245</v>
      </c>
      <c r="D112" s="11" t="s">
        <v>212</v>
      </c>
      <c r="E112" s="11" t="s">
        <v>78</v>
      </c>
      <c r="F112" s="14" t="n">
        <v>5130</v>
      </c>
      <c r="G112" s="30" t="n">
        <v>46023</v>
      </c>
      <c r="H112" s="30" t="n">
        <v>46038</v>
      </c>
      <c r="I112" s="30" t="n">
        <v>46030</v>
      </c>
      <c r="J112" s="35" t="n">
        <v>-8</v>
      </c>
      <c r="K112" s="11" t="s">
        <v>278</v>
      </c>
    </row>
    <row r="113" customFormat="false" ht="15" hidden="false" customHeight="false" outlineLevel="0" collapsed="false">
      <c r="A113" s="11" t="s">
        <v>389</v>
      </c>
      <c r="B113" s="11" t="s">
        <v>247</v>
      </c>
      <c r="C113" s="11" t="s">
        <v>248</v>
      </c>
      <c r="D113" s="11" t="s">
        <v>249</v>
      </c>
      <c r="E113" s="11" t="s">
        <v>78</v>
      </c>
      <c r="F113" s="14" t="n">
        <v>55220</v>
      </c>
      <c r="G113" s="30" t="n">
        <v>46023</v>
      </c>
      <c r="H113" s="30" t="n">
        <v>46038</v>
      </c>
      <c r="I113" s="30" t="n">
        <v>46043</v>
      </c>
      <c r="J113" s="35" t="n">
        <v>5</v>
      </c>
      <c r="K113" s="11" t="s">
        <v>278</v>
      </c>
    </row>
    <row r="114" customFormat="false" ht="15" hidden="false" customHeight="false" outlineLevel="0" collapsed="false">
      <c r="A114" s="11" t="s">
        <v>390</v>
      </c>
      <c r="B114" s="11" t="s">
        <v>253</v>
      </c>
      <c r="C114" s="11" t="s">
        <v>254</v>
      </c>
      <c r="D114" s="11" t="s">
        <v>212</v>
      </c>
      <c r="E114" s="11" t="s">
        <v>78</v>
      </c>
      <c r="F114" s="14" t="n">
        <v>4630</v>
      </c>
      <c r="G114" s="30" t="n">
        <v>46023</v>
      </c>
      <c r="H114" s="30" t="n">
        <v>46038</v>
      </c>
      <c r="I114" s="30" t="n">
        <v>46029</v>
      </c>
      <c r="J114" s="35" t="n">
        <v>-9</v>
      </c>
      <c r="K114" s="11" t="s">
        <v>278</v>
      </c>
    </row>
    <row r="115" customFormat="false" ht="15" hidden="false" customHeight="false" outlineLevel="0" collapsed="false">
      <c r="A115" s="11" t="s">
        <v>391</v>
      </c>
      <c r="B115" s="11" t="s">
        <v>255</v>
      </c>
      <c r="C115" s="11" t="s">
        <v>256</v>
      </c>
      <c r="D115" s="11" t="s">
        <v>212</v>
      </c>
      <c r="E115" s="11" t="s">
        <v>78</v>
      </c>
      <c r="F115" s="14" t="n">
        <v>3880</v>
      </c>
      <c r="G115" s="30" t="n">
        <v>46023</v>
      </c>
      <c r="H115" s="30" t="n">
        <v>46038</v>
      </c>
      <c r="I115" s="30" t="n">
        <v>46029</v>
      </c>
      <c r="J115" s="35" t="n">
        <v>-9</v>
      </c>
      <c r="K115" s="11" t="s">
        <v>278</v>
      </c>
    </row>
    <row r="116" customFormat="false" ht="15" hidden="false" customHeight="false" outlineLevel="0" collapsed="false">
      <c r="A116" s="11" t="s">
        <v>392</v>
      </c>
      <c r="B116" s="11" t="s">
        <v>257</v>
      </c>
      <c r="C116" s="11" t="s">
        <v>258</v>
      </c>
      <c r="D116" s="11" t="s">
        <v>212</v>
      </c>
      <c r="E116" s="11" t="s">
        <v>78</v>
      </c>
      <c r="F116" s="14" t="n">
        <v>9250</v>
      </c>
      <c r="G116" s="30" t="n">
        <v>46023</v>
      </c>
      <c r="H116" s="30" t="n">
        <v>46038</v>
      </c>
      <c r="I116" s="30" t="n">
        <v>46034</v>
      </c>
      <c r="J116" s="35" t="n">
        <v>-4</v>
      </c>
      <c r="K116" s="11" t="s">
        <v>278</v>
      </c>
    </row>
    <row r="117" customFormat="false" ht="15" hidden="false" customHeight="false" outlineLevel="0" collapsed="false">
      <c r="A117" s="11" t="s">
        <v>393</v>
      </c>
      <c r="B117" s="11" t="s">
        <v>259</v>
      </c>
      <c r="C117" s="11" t="s">
        <v>260</v>
      </c>
      <c r="D117" s="11" t="s">
        <v>212</v>
      </c>
      <c r="E117" s="11" t="s">
        <v>78</v>
      </c>
      <c r="F117" s="14" t="n">
        <v>3250</v>
      </c>
      <c r="G117" s="30" t="n">
        <v>46023</v>
      </c>
      <c r="H117" s="30" t="n">
        <v>46038</v>
      </c>
      <c r="I117" s="30" t="n">
        <v>46034</v>
      </c>
      <c r="J117" s="35" t="n">
        <v>-4</v>
      </c>
      <c r="K117" s="11" t="s">
        <v>278</v>
      </c>
    </row>
    <row r="118" customFormat="false" ht="15" hidden="false" customHeight="false" outlineLevel="0" collapsed="false">
      <c r="A118" s="11" t="s">
        <v>394</v>
      </c>
      <c r="B118" s="11" t="s">
        <v>261</v>
      </c>
      <c r="C118" s="11" t="s">
        <v>262</v>
      </c>
      <c r="D118" s="11" t="s">
        <v>212</v>
      </c>
      <c r="E118" s="11" t="s">
        <v>78</v>
      </c>
      <c r="F118" s="14" t="n">
        <v>6510</v>
      </c>
      <c r="G118" s="30" t="n">
        <v>46023</v>
      </c>
      <c r="H118" s="30" t="n">
        <v>46038</v>
      </c>
      <c r="I118" s="30" t="n">
        <v>46034</v>
      </c>
      <c r="J118" s="35" t="n">
        <v>-4</v>
      </c>
      <c r="K118" s="11" t="s">
        <v>278</v>
      </c>
    </row>
    <row r="119" customFormat="false" ht="15" hidden="false" customHeight="false" outlineLevel="0" collapsed="false">
      <c r="A119" s="11" t="s">
        <v>395</v>
      </c>
      <c r="B119" s="11" t="s">
        <v>265</v>
      </c>
      <c r="C119" s="11" t="s">
        <v>266</v>
      </c>
      <c r="D119" s="11" t="s">
        <v>212</v>
      </c>
      <c r="E119" s="11" t="s">
        <v>78</v>
      </c>
      <c r="F119" s="14" t="n">
        <v>6750</v>
      </c>
      <c r="G119" s="30" t="n">
        <v>46023</v>
      </c>
      <c r="H119" s="30" t="n">
        <v>46038</v>
      </c>
      <c r="I119" s="30" t="n">
        <v>46034</v>
      </c>
      <c r="J119" s="35" t="n">
        <v>-4</v>
      </c>
      <c r="K119" s="11" t="s">
        <v>278</v>
      </c>
    </row>
    <row r="120" customFormat="false" ht="15" hidden="false" customHeight="false" outlineLevel="0" collapsed="false">
      <c r="A120" s="11" t="s">
        <v>396</v>
      </c>
      <c r="B120" s="11" t="s">
        <v>239</v>
      </c>
      <c r="C120" s="11" t="s">
        <v>240</v>
      </c>
      <c r="D120" s="11" t="s">
        <v>212</v>
      </c>
      <c r="E120" s="11" t="s">
        <v>78</v>
      </c>
      <c r="F120" s="14" t="n">
        <v>7760</v>
      </c>
      <c r="G120" s="30" t="n">
        <v>46055</v>
      </c>
      <c r="H120" s="30" t="n">
        <v>46070</v>
      </c>
      <c r="I120" s="30" t="n">
        <v>46069</v>
      </c>
      <c r="J120" s="35" t="n">
        <v>-1</v>
      </c>
      <c r="K120" s="11" t="s">
        <v>278</v>
      </c>
    </row>
    <row r="121" customFormat="false" ht="15" hidden="false" customHeight="false" outlineLevel="0" collapsed="false">
      <c r="A121" s="11" t="s">
        <v>397</v>
      </c>
      <c r="B121" s="11" t="s">
        <v>242</v>
      </c>
      <c r="C121" s="11" t="s">
        <v>243</v>
      </c>
      <c r="D121" s="11" t="s">
        <v>212</v>
      </c>
      <c r="E121" s="11" t="s">
        <v>78</v>
      </c>
      <c r="F121" s="14" t="n">
        <v>8630</v>
      </c>
      <c r="G121" s="30" t="n">
        <v>46055</v>
      </c>
      <c r="H121" s="30" t="n">
        <v>46070</v>
      </c>
      <c r="I121" s="30" t="n">
        <v>46111</v>
      </c>
      <c r="J121" s="35" t="n">
        <v>41</v>
      </c>
      <c r="K121" s="11" t="s">
        <v>278</v>
      </c>
    </row>
    <row r="122" customFormat="false" ht="15" hidden="false" customHeight="false" outlineLevel="0" collapsed="false">
      <c r="A122" s="11" t="s">
        <v>398</v>
      </c>
      <c r="B122" s="11" t="s">
        <v>244</v>
      </c>
      <c r="C122" s="11" t="s">
        <v>245</v>
      </c>
      <c r="D122" s="11" t="s">
        <v>212</v>
      </c>
      <c r="E122" s="11" t="s">
        <v>78</v>
      </c>
      <c r="F122" s="14" t="n">
        <v>5130</v>
      </c>
      <c r="G122" s="30" t="n">
        <v>46055</v>
      </c>
      <c r="H122" s="30" t="n">
        <v>46070</v>
      </c>
      <c r="I122" s="30" t="n">
        <v>46062</v>
      </c>
      <c r="J122" s="35" t="n">
        <v>-8</v>
      </c>
      <c r="K122" s="11" t="s">
        <v>278</v>
      </c>
    </row>
    <row r="123" customFormat="false" ht="15" hidden="false" customHeight="false" outlineLevel="0" collapsed="false">
      <c r="A123" s="11" t="s">
        <v>399</v>
      </c>
      <c r="B123" s="11" t="s">
        <v>253</v>
      </c>
      <c r="C123" s="11" t="s">
        <v>254</v>
      </c>
      <c r="D123" s="11" t="s">
        <v>212</v>
      </c>
      <c r="E123" s="11" t="s">
        <v>78</v>
      </c>
      <c r="F123" s="14" t="n">
        <v>4630</v>
      </c>
      <c r="G123" s="30" t="n">
        <v>46055</v>
      </c>
      <c r="H123" s="30" t="n">
        <v>46070</v>
      </c>
      <c r="I123" s="30" t="n">
        <v>46062</v>
      </c>
      <c r="J123" s="35" t="n">
        <v>-8</v>
      </c>
      <c r="K123" s="11" t="s">
        <v>278</v>
      </c>
    </row>
    <row r="124" customFormat="false" ht="15" hidden="false" customHeight="false" outlineLevel="0" collapsed="false">
      <c r="A124" s="11" t="s">
        <v>400</v>
      </c>
      <c r="B124" s="11" t="s">
        <v>255</v>
      </c>
      <c r="C124" s="11" t="s">
        <v>256</v>
      </c>
      <c r="D124" s="11" t="s">
        <v>212</v>
      </c>
      <c r="E124" s="11" t="s">
        <v>78</v>
      </c>
      <c r="F124" s="14" t="n">
        <v>3880</v>
      </c>
      <c r="G124" s="30" t="n">
        <v>46055</v>
      </c>
      <c r="H124" s="30" t="n">
        <v>46070</v>
      </c>
      <c r="I124" s="30" t="n">
        <v>46062</v>
      </c>
      <c r="J124" s="35" t="n">
        <v>-8</v>
      </c>
      <c r="K124" s="11" t="s">
        <v>278</v>
      </c>
    </row>
    <row r="125" customFormat="false" ht="15" hidden="false" customHeight="false" outlineLevel="0" collapsed="false">
      <c r="A125" s="11" t="s">
        <v>401</v>
      </c>
      <c r="B125" s="11" t="s">
        <v>257</v>
      </c>
      <c r="C125" s="11" t="s">
        <v>258</v>
      </c>
      <c r="D125" s="11" t="s">
        <v>212</v>
      </c>
      <c r="E125" s="11" t="s">
        <v>78</v>
      </c>
      <c r="F125" s="14" t="n">
        <v>9250</v>
      </c>
      <c r="G125" s="30" t="n">
        <v>46055</v>
      </c>
      <c r="H125" s="30" t="n">
        <v>46070</v>
      </c>
      <c r="I125" s="30" t="n">
        <v>46069</v>
      </c>
      <c r="J125" s="35" t="n">
        <v>-1</v>
      </c>
      <c r="K125" s="11" t="s">
        <v>278</v>
      </c>
    </row>
    <row r="126" customFormat="false" ht="15" hidden="false" customHeight="false" outlineLevel="0" collapsed="false">
      <c r="A126" s="11" t="s">
        <v>402</v>
      </c>
      <c r="B126" s="11" t="s">
        <v>259</v>
      </c>
      <c r="C126" s="11" t="s">
        <v>260</v>
      </c>
      <c r="D126" s="11" t="s">
        <v>212</v>
      </c>
      <c r="E126" s="11" t="s">
        <v>78</v>
      </c>
      <c r="F126" s="14" t="n">
        <v>3250</v>
      </c>
      <c r="G126" s="30" t="n">
        <v>46055</v>
      </c>
      <c r="H126" s="30" t="n">
        <v>46070</v>
      </c>
      <c r="I126" s="30" t="n">
        <v>46062</v>
      </c>
      <c r="J126" s="35" t="n">
        <v>-8</v>
      </c>
      <c r="K126" s="11" t="s">
        <v>278</v>
      </c>
    </row>
    <row r="127" customFormat="false" ht="15" hidden="false" customHeight="false" outlineLevel="0" collapsed="false">
      <c r="A127" s="11" t="s">
        <v>403</v>
      </c>
      <c r="B127" s="11" t="s">
        <v>261</v>
      </c>
      <c r="C127" s="11" t="s">
        <v>262</v>
      </c>
      <c r="D127" s="11" t="s">
        <v>212</v>
      </c>
      <c r="E127" s="11" t="s">
        <v>78</v>
      </c>
      <c r="F127" s="14" t="n">
        <v>6510</v>
      </c>
      <c r="G127" s="30" t="n">
        <v>46055</v>
      </c>
      <c r="H127" s="30" t="n">
        <v>46070</v>
      </c>
      <c r="I127" s="30" t="n">
        <v>46066</v>
      </c>
      <c r="J127" s="35" t="n">
        <v>-4</v>
      </c>
      <c r="K127" s="11" t="s">
        <v>278</v>
      </c>
    </row>
    <row r="128" customFormat="false" ht="15" hidden="false" customHeight="false" outlineLevel="0" collapsed="false">
      <c r="A128" s="11" t="s">
        <v>404</v>
      </c>
      <c r="B128" s="11" t="s">
        <v>265</v>
      </c>
      <c r="C128" s="11" t="s">
        <v>266</v>
      </c>
      <c r="D128" s="11" t="s">
        <v>212</v>
      </c>
      <c r="E128" s="11" t="s">
        <v>78</v>
      </c>
      <c r="F128" s="14" t="n">
        <v>6750</v>
      </c>
      <c r="G128" s="30" t="n">
        <v>46055</v>
      </c>
      <c r="H128" s="30" t="n">
        <v>46070</v>
      </c>
      <c r="I128" s="30" t="n">
        <v>46062</v>
      </c>
      <c r="J128" s="35" t="n">
        <v>-8</v>
      </c>
      <c r="K128" s="11" t="s">
        <v>278</v>
      </c>
    </row>
    <row r="129" customFormat="false" ht="15" hidden="false" customHeight="false" outlineLevel="0" collapsed="false">
      <c r="A129" s="11" t="s">
        <v>405</v>
      </c>
      <c r="B129" s="11" t="s">
        <v>239</v>
      </c>
      <c r="C129" s="11" t="s">
        <v>240</v>
      </c>
      <c r="D129" s="11" t="s">
        <v>212</v>
      </c>
      <c r="E129" s="11" t="s">
        <v>78</v>
      </c>
      <c r="F129" s="14" t="n">
        <v>7760</v>
      </c>
      <c r="G129" s="30" t="n">
        <v>46083</v>
      </c>
      <c r="H129" s="30" t="n">
        <v>46098</v>
      </c>
      <c r="I129" s="30" t="n">
        <v>46090</v>
      </c>
      <c r="J129" s="35" t="n">
        <v>-8</v>
      </c>
      <c r="K129" s="11" t="s">
        <v>278</v>
      </c>
    </row>
    <row r="130" customFormat="false" ht="15" hidden="false" customHeight="false" outlineLevel="0" collapsed="false">
      <c r="A130" s="11" t="s">
        <v>406</v>
      </c>
      <c r="B130" s="11" t="s">
        <v>242</v>
      </c>
      <c r="C130" s="11" t="s">
        <v>243</v>
      </c>
      <c r="D130" s="11" t="s">
        <v>212</v>
      </c>
      <c r="E130" s="11" t="s">
        <v>78</v>
      </c>
      <c r="F130" s="14" t="n">
        <v>8630</v>
      </c>
      <c r="G130" s="30" t="n">
        <v>46083</v>
      </c>
      <c r="H130" s="30" t="n">
        <v>46098</v>
      </c>
      <c r="I130" s="30" t="n">
        <v>46125</v>
      </c>
      <c r="J130" s="35" t="n">
        <v>27</v>
      </c>
      <c r="K130" s="11" t="s">
        <v>278</v>
      </c>
    </row>
    <row r="131" customFormat="false" ht="15" hidden="false" customHeight="false" outlineLevel="0" collapsed="false">
      <c r="A131" s="11" t="s">
        <v>407</v>
      </c>
      <c r="B131" s="11" t="s">
        <v>244</v>
      </c>
      <c r="C131" s="11" t="s">
        <v>245</v>
      </c>
      <c r="D131" s="11" t="s">
        <v>212</v>
      </c>
      <c r="E131" s="11" t="s">
        <v>78</v>
      </c>
      <c r="F131" s="14" t="n">
        <v>5130</v>
      </c>
      <c r="G131" s="30" t="n">
        <v>46083</v>
      </c>
      <c r="H131" s="30" t="n">
        <v>46098</v>
      </c>
      <c r="I131" s="30" t="n">
        <v>46097</v>
      </c>
      <c r="J131" s="35" t="n">
        <v>-1</v>
      </c>
      <c r="K131" s="11" t="s">
        <v>278</v>
      </c>
    </row>
    <row r="132" customFormat="false" ht="15" hidden="false" customHeight="false" outlineLevel="0" collapsed="false">
      <c r="A132" s="11" t="s">
        <v>408</v>
      </c>
      <c r="B132" s="11" t="s">
        <v>253</v>
      </c>
      <c r="C132" s="11" t="s">
        <v>254</v>
      </c>
      <c r="D132" s="11" t="s">
        <v>212</v>
      </c>
      <c r="E132" s="11" t="s">
        <v>78</v>
      </c>
      <c r="F132" s="14" t="n">
        <v>4630</v>
      </c>
      <c r="G132" s="30" t="n">
        <v>46083</v>
      </c>
      <c r="H132" s="30" t="n">
        <v>46098</v>
      </c>
      <c r="I132" s="30" t="n">
        <v>46090</v>
      </c>
      <c r="J132" s="35" t="n">
        <v>-8</v>
      </c>
      <c r="K132" s="11" t="s">
        <v>278</v>
      </c>
    </row>
    <row r="133" customFormat="false" ht="15" hidden="false" customHeight="false" outlineLevel="0" collapsed="false">
      <c r="A133" s="11" t="s">
        <v>409</v>
      </c>
      <c r="B133" s="11" t="s">
        <v>255</v>
      </c>
      <c r="C133" s="11" t="s">
        <v>256</v>
      </c>
      <c r="D133" s="11" t="s">
        <v>212</v>
      </c>
      <c r="E133" s="11" t="s">
        <v>78</v>
      </c>
      <c r="F133" s="14" t="n">
        <v>3880</v>
      </c>
      <c r="G133" s="30" t="n">
        <v>46083</v>
      </c>
      <c r="H133" s="30" t="n">
        <v>46098</v>
      </c>
      <c r="I133" s="30" t="n">
        <v>46097</v>
      </c>
      <c r="J133" s="35" t="n">
        <v>-1</v>
      </c>
      <c r="K133" s="11" t="s">
        <v>278</v>
      </c>
    </row>
    <row r="134" customFormat="false" ht="15" hidden="false" customHeight="false" outlineLevel="0" collapsed="false">
      <c r="A134" s="11" t="s">
        <v>410</v>
      </c>
      <c r="B134" s="11" t="s">
        <v>257</v>
      </c>
      <c r="C134" s="11" t="s">
        <v>258</v>
      </c>
      <c r="D134" s="11" t="s">
        <v>212</v>
      </c>
      <c r="E134" s="11" t="s">
        <v>78</v>
      </c>
      <c r="F134" s="14" t="n">
        <v>9250</v>
      </c>
      <c r="G134" s="30" t="n">
        <v>46083</v>
      </c>
      <c r="H134" s="30" t="n">
        <v>46098</v>
      </c>
      <c r="I134" s="30" t="n">
        <v>46090</v>
      </c>
      <c r="J134" s="35" t="n">
        <v>-8</v>
      </c>
      <c r="K134" s="11" t="s">
        <v>278</v>
      </c>
    </row>
    <row r="135" customFormat="false" ht="15" hidden="false" customHeight="false" outlineLevel="0" collapsed="false">
      <c r="A135" s="11" t="s">
        <v>411</v>
      </c>
      <c r="B135" s="11" t="s">
        <v>259</v>
      </c>
      <c r="C135" s="11" t="s">
        <v>260</v>
      </c>
      <c r="D135" s="11" t="s">
        <v>212</v>
      </c>
      <c r="E135" s="11" t="s">
        <v>78</v>
      </c>
      <c r="F135" s="14" t="n">
        <v>3250</v>
      </c>
      <c r="G135" s="30" t="n">
        <v>46083</v>
      </c>
      <c r="H135" s="30" t="n">
        <v>46098</v>
      </c>
      <c r="I135" s="30" t="n">
        <v>46090</v>
      </c>
      <c r="J135" s="35" t="n">
        <v>-8</v>
      </c>
      <c r="K135" s="11" t="s">
        <v>278</v>
      </c>
    </row>
    <row r="136" customFormat="false" ht="15" hidden="false" customHeight="false" outlineLevel="0" collapsed="false">
      <c r="A136" s="11" t="s">
        <v>412</v>
      </c>
      <c r="B136" s="11" t="s">
        <v>261</v>
      </c>
      <c r="C136" s="11" t="s">
        <v>262</v>
      </c>
      <c r="D136" s="11" t="s">
        <v>212</v>
      </c>
      <c r="E136" s="11" t="s">
        <v>78</v>
      </c>
      <c r="F136" s="14" t="n">
        <v>6510</v>
      </c>
      <c r="G136" s="30" t="n">
        <v>46083</v>
      </c>
      <c r="H136" s="30" t="n">
        <v>46098</v>
      </c>
      <c r="I136" s="30" t="n">
        <v>46090</v>
      </c>
      <c r="J136" s="35" t="n">
        <v>-8</v>
      </c>
      <c r="K136" s="11" t="s">
        <v>278</v>
      </c>
    </row>
    <row r="137" customFormat="false" ht="15" hidden="false" customHeight="false" outlineLevel="0" collapsed="false">
      <c r="A137" s="11" t="s">
        <v>413</v>
      </c>
      <c r="B137" s="11" t="s">
        <v>265</v>
      </c>
      <c r="C137" s="11" t="s">
        <v>266</v>
      </c>
      <c r="D137" s="11" t="s">
        <v>212</v>
      </c>
      <c r="E137" s="11" t="s">
        <v>78</v>
      </c>
      <c r="F137" s="14" t="n">
        <v>6750</v>
      </c>
      <c r="G137" s="30" t="n">
        <v>46083</v>
      </c>
      <c r="H137" s="30" t="n">
        <v>46098</v>
      </c>
      <c r="I137" s="30" t="n">
        <v>46091</v>
      </c>
      <c r="J137" s="35" t="n">
        <v>-7</v>
      </c>
      <c r="K137" s="11" t="s">
        <v>278</v>
      </c>
    </row>
    <row r="138" customFormat="false" ht="15" hidden="false" customHeight="false" outlineLevel="0" collapsed="false">
      <c r="A138" s="11" t="s">
        <v>414</v>
      </c>
      <c r="B138" s="11" t="s">
        <v>267</v>
      </c>
      <c r="C138" s="11" t="s">
        <v>268</v>
      </c>
      <c r="D138" s="11" t="s">
        <v>212</v>
      </c>
      <c r="E138" s="11" t="s">
        <v>78</v>
      </c>
      <c r="F138" s="14" t="n">
        <v>3420</v>
      </c>
      <c r="G138" s="30" t="n">
        <v>46083</v>
      </c>
      <c r="H138" s="30" t="n">
        <v>46098</v>
      </c>
      <c r="I138" s="30" t="n">
        <v>46092</v>
      </c>
      <c r="J138" s="35" t="n">
        <v>-6</v>
      </c>
      <c r="K138" s="11" t="s">
        <v>278</v>
      </c>
    </row>
    <row r="139" customFormat="false" ht="15" hidden="false" customHeight="false" outlineLevel="0" collapsed="false">
      <c r="A139" s="11" t="s">
        <v>415</v>
      </c>
      <c r="B139" s="11" t="s">
        <v>239</v>
      </c>
      <c r="C139" s="11" t="s">
        <v>240</v>
      </c>
      <c r="D139" s="11" t="s">
        <v>212</v>
      </c>
      <c r="E139" s="11" t="s">
        <v>78</v>
      </c>
      <c r="F139" s="14" t="n">
        <v>7760</v>
      </c>
      <c r="G139" s="30" t="n">
        <v>46113</v>
      </c>
      <c r="H139" s="30" t="n">
        <v>46128</v>
      </c>
      <c r="I139" s="30" t="n">
        <v>46125</v>
      </c>
      <c r="J139" s="35" t="n">
        <v>-3</v>
      </c>
      <c r="K139" s="11" t="s">
        <v>278</v>
      </c>
    </row>
    <row r="140" customFormat="false" ht="15" hidden="false" customHeight="false" outlineLevel="0" collapsed="false">
      <c r="A140" s="11" t="s">
        <v>416</v>
      </c>
      <c r="B140" s="11" t="s">
        <v>242</v>
      </c>
      <c r="C140" s="11" t="s">
        <v>243</v>
      </c>
      <c r="D140" s="11" t="s">
        <v>212</v>
      </c>
      <c r="E140" s="11" t="s">
        <v>78</v>
      </c>
      <c r="F140" s="14" t="n">
        <v>8630</v>
      </c>
      <c r="G140" s="30" t="n">
        <v>46113</v>
      </c>
      <c r="H140" s="30" t="n">
        <v>46128</v>
      </c>
      <c r="I140" s="30" t="n">
        <v>46164</v>
      </c>
      <c r="J140" s="35" t="n">
        <v>36</v>
      </c>
      <c r="K140" s="11" t="s">
        <v>278</v>
      </c>
    </row>
    <row r="141" customFormat="false" ht="15" hidden="false" customHeight="false" outlineLevel="0" collapsed="false">
      <c r="A141" s="11" t="s">
        <v>417</v>
      </c>
      <c r="B141" s="11" t="s">
        <v>253</v>
      </c>
      <c r="C141" s="11" t="s">
        <v>254</v>
      </c>
      <c r="D141" s="11" t="s">
        <v>212</v>
      </c>
      <c r="E141" s="11" t="s">
        <v>78</v>
      </c>
      <c r="F141" s="14" t="n">
        <v>4630</v>
      </c>
      <c r="G141" s="30" t="n">
        <v>46113</v>
      </c>
      <c r="H141" s="30" t="n">
        <v>46128</v>
      </c>
      <c r="I141" s="30" t="n">
        <v>46125</v>
      </c>
      <c r="J141" s="35" t="n">
        <v>-3</v>
      </c>
      <c r="K141" s="11" t="s">
        <v>278</v>
      </c>
    </row>
    <row r="142" customFormat="false" ht="15" hidden="false" customHeight="false" outlineLevel="0" collapsed="false">
      <c r="A142" s="11" t="s">
        <v>418</v>
      </c>
      <c r="B142" s="11" t="s">
        <v>255</v>
      </c>
      <c r="C142" s="11" t="s">
        <v>256</v>
      </c>
      <c r="D142" s="11" t="s">
        <v>212</v>
      </c>
      <c r="E142" s="11" t="s">
        <v>78</v>
      </c>
      <c r="F142" s="14" t="n">
        <v>3880</v>
      </c>
      <c r="G142" s="30" t="n">
        <v>46113</v>
      </c>
      <c r="H142" s="30" t="n">
        <v>46128</v>
      </c>
      <c r="I142" s="30" t="n">
        <v>46121</v>
      </c>
      <c r="J142" s="35" t="n">
        <v>-7</v>
      </c>
      <c r="K142" s="11" t="s">
        <v>278</v>
      </c>
    </row>
    <row r="143" customFormat="false" ht="15" hidden="false" customHeight="false" outlineLevel="0" collapsed="false">
      <c r="A143" s="11" t="s">
        <v>419</v>
      </c>
      <c r="B143" s="11" t="s">
        <v>257</v>
      </c>
      <c r="C143" s="11" t="s">
        <v>258</v>
      </c>
      <c r="D143" s="11" t="s">
        <v>212</v>
      </c>
      <c r="E143" s="11" t="s">
        <v>78</v>
      </c>
      <c r="F143" s="14" t="n">
        <v>9250</v>
      </c>
      <c r="G143" s="30" t="n">
        <v>46113</v>
      </c>
      <c r="H143" s="30" t="n">
        <v>46128</v>
      </c>
      <c r="I143" s="30" t="n">
        <v>46121</v>
      </c>
      <c r="J143" s="35" t="n">
        <v>-7</v>
      </c>
      <c r="K143" s="11" t="s">
        <v>278</v>
      </c>
    </row>
    <row r="144" customFormat="false" ht="15" hidden="false" customHeight="false" outlineLevel="0" collapsed="false">
      <c r="A144" s="11" t="s">
        <v>420</v>
      </c>
      <c r="B144" s="11" t="s">
        <v>259</v>
      </c>
      <c r="C144" s="11" t="s">
        <v>260</v>
      </c>
      <c r="D144" s="11" t="s">
        <v>212</v>
      </c>
      <c r="E144" s="11" t="s">
        <v>78</v>
      </c>
      <c r="F144" s="14" t="n">
        <v>3250</v>
      </c>
      <c r="G144" s="30" t="n">
        <v>46113</v>
      </c>
      <c r="H144" s="30" t="n">
        <v>46128</v>
      </c>
      <c r="I144" s="30" t="n">
        <v>46119</v>
      </c>
      <c r="J144" s="35" t="n">
        <v>-9</v>
      </c>
      <c r="K144" s="11" t="s">
        <v>278</v>
      </c>
    </row>
    <row r="145" customFormat="false" ht="15" hidden="false" customHeight="false" outlineLevel="0" collapsed="false">
      <c r="A145" s="11" t="s">
        <v>421</v>
      </c>
      <c r="B145" s="11" t="s">
        <v>261</v>
      </c>
      <c r="C145" s="11" t="s">
        <v>262</v>
      </c>
      <c r="D145" s="11" t="s">
        <v>212</v>
      </c>
      <c r="E145" s="11" t="s">
        <v>78</v>
      </c>
      <c r="F145" s="14" t="n">
        <v>6510</v>
      </c>
      <c r="G145" s="30" t="n">
        <v>46113</v>
      </c>
      <c r="H145" s="30" t="n">
        <v>46128</v>
      </c>
      <c r="I145" s="30" t="n">
        <v>46122</v>
      </c>
      <c r="J145" s="35" t="n">
        <v>-6</v>
      </c>
      <c r="K145" s="11" t="s">
        <v>278</v>
      </c>
    </row>
    <row r="146" customFormat="false" ht="15" hidden="false" customHeight="false" outlineLevel="0" collapsed="false">
      <c r="A146" s="11" t="s">
        <v>422</v>
      </c>
      <c r="B146" s="11" t="s">
        <v>265</v>
      </c>
      <c r="C146" s="11" t="s">
        <v>266</v>
      </c>
      <c r="D146" s="11" t="s">
        <v>212</v>
      </c>
      <c r="E146" s="11" t="s">
        <v>78</v>
      </c>
      <c r="F146" s="14" t="n">
        <v>6750</v>
      </c>
      <c r="G146" s="30" t="n">
        <v>46113</v>
      </c>
      <c r="H146" s="30" t="n">
        <v>46128</v>
      </c>
      <c r="I146" s="30" t="n">
        <v>46118</v>
      </c>
      <c r="J146" s="35" t="n">
        <v>-10</v>
      </c>
      <c r="K146" s="11" t="s">
        <v>278</v>
      </c>
    </row>
    <row r="147" customFormat="false" ht="15" hidden="false" customHeight="false" outlineLevel="0" collapsed="false">
      <c r="A147" s="11" t="s">
        <v>423</v>
      </c>
      <c r="B147" s="11" t="s">
        <v>267</v>
      </c>
      <c r="C147" s="11" t="s">
        <v>268</v>
      </c>
      <c r="D147" s="11" t="s">
        <v>212</v>
      </c>
      <c r="E147" s="11" t="s">
        <v>78</v>
      </c>
      <c r="F147" s="14" t="n">
        <v>3420</v>
      </c>
      <c r="G147" s="30" t="n">
        <v>46113</v>
      </c>
      <c r="H147" s="30" t="n">
        <v>46128</v>
      </c>
      <c r="I147" s="30" t="n">
        <v>46122</v>
      </c>
      <c r="J147" s="35" t="n">
        <v>-6</v>
      </c>
      <c r="K147" s="11" t="s">
        <v>278</v>
      </c>
    </row>
    <row r="148" customFormat="false" ht="15" hidden="false" customHeight="false" outlineLevel="0" collapsed="false">
      <c r="A148" s="11" t="s">
        <v>424</v>
      </c>
      <c r="B148" s="11" t="s">
        <v>239</v>
      </c>
      <c r="C148" s="11" t="s">
        <v>240</v>
      </c>
      <c r="D148" s="11" t="s">
        <v>212</v>
      </c>
      <c r="E148" s="11" t="s">
        <v>78</v>
      </c>
      <c r="F148" s="14" t="n">
        <v>7760</v>
      </c>
      <c r="G148" s="30" t="n">
        <v>46143</v>
      </c>
      <c r="H148" s="30" t="n">
        <v>46158</v>
      </c>
      <c r="I148" s="30" t="n">
        <v>46150</v>
      </c>
      <c r="J148" s="35" t="n">
        <v>-8</v>
      </c>
      <c r="K148" s="11" t="s">
        <v>278</v>
      </c>
    </row>
    <row r="149" customFormat="false" ht="15" hidden="false" customHeight="false" outlineLevel="0" collapsed="false">
      <c r="A149" s="11" t="s">
        <v>425</v>
      </c>
      <c r="B149" s="11" t="s">
        <v>242</v>
      </c>
      <c r="C149" s="11" t="s">
        <v>243</v>
      </c>
      <c r="D149" s="11" t="s">
        <v>212</v>
      </c>
      <c r="E149" s="11" t="s">
        <v>78</v>
      </c>
      <c r="F149" s="14" t="n">
        <v>8630</v>
      </c>
      <c r="G149" s="30" t="n">
        <v>46143</v>
      </c>
      <c r="H149" s="30" t="n">
        <v>46158</v>
      </c>
      <c r="I149" s="30" t="n">
        <v>46195</v>
      </c>
      <c r="J149" s="35" t="n">
        <v>37</v>
      </c>
      <c r="K149" s="11" t="s">
        <v>278</v>
      </c>
    </row>
    <row r="150" customFormat="false" ht="15" hidden="false" customHeight="false" outlineLevel="0" collapsed="false">
      <c r="A150" s="11" t="s">
        <v>426</v>
      </c>
      <c r="B150" s="11" t="s">
        <v>253</v>
      </c>
      <c r="C150" s="11" t="s">
        <v>254</v>
      </c>
      <c r="D150" s="11" t="s">
        <v>212</v>
      </c>
      <c r="E150" s="11" t="s">
        <v>78</v>
      </c>
      <c r="F150" s="14" t="n">
        <v>4630</v>
      </c>
      <c r="G150" s="30" t="n">
        <v>46143</v>
      </c>
      <c r="H150" s="30" t="n">
        <v>46158</v>
      </c>
      <c r="I150" s="30" t="n">
        <v>46149</v>
      </c>
      <c r="J150" s="35" t="n">
        <v>-9</v>
      </c>
      <c r="K150" s="11" t="s">
        <v>278</v>
      </c>
    </row>
    <row r="151" customFormat="false" ht="15" hidden="false" customHeight="false" outlineLevel="0" collapsed="false">
      <c r="A151" s="11" t="s">
        <v>427</v>
      </c>
      <c r="B151" s="11" t="s">
        <v>255</v>
      </c>
      <c r="C151" s="11" t="s">
        <v>256</v>
      </c>
      <c r="D151" s="11" t="s">
        <v>212</v>
      </c>
      <c r="E151" s="11" t="s">
        <v>78</v>
      </c>
      <c r="F151" s="14" t="n">
        <v>3880</v>
      </c>
      <c r="G151" s="30" t="n">
        <v>46143</v>
      </c>
      <c r="H151" s="30" t="n">
        <v>46158</v>
      </c>
      <c r="I151" s="30" t="n">
        <v>46153</v>
      </c>
      <c r="J151" s="35" t="n">
        <v>-5</v>
      </c>
      <c r="K151" s="11" t="s">
        <v>278</v>
      </c>
    </row>
    <row r="152" customFormat="false" ht="15" hidden="false" customHeight="false" outlineLevel="0" collapsed="false">
      <c r="A152" s="11" t="s">
        <v>428</v>
      </c>
      <c r="B152" s="11" t="s">
        <v>257</v>
      </c>
      <c r="C152" s="11" t="s">
        <v>258</v>
      </c>
      <c r="D152" s="11" t="s">
        <v>212</v>
      </c>
      <c r="E152" s="11" t="s">
        <v>78</v>
      </c>
      <c r="F152" s="14" t="n">
        <v>9250</v>
      </c>
      <c r="G152" s="30" t="n">
        <v>46143</v>
      </c>
      <c r="H152" s="30" t="n">
        <v>46158</v>
      </c>
      <c r="I152" s="30" t="n">
        <v>46153</v>
      </c>
      <c r="J152" s="35" t="n">
        <v>-5</v>
      </c>
      <c r="K152" s="11" t="s">
        <v>278</v>
      </c>
    </row>
    <row r="153" customFormat="false" ht="15" hidden="false" customHeight="false" outlineLevel="0" collapsed="false">
      <c r="A153" s="11" t="s">
        <v>429</v>
      </c>
      <c r="B153" s="11" t="s">
        <v>259</v>
      </c>
      <c r="C153" s="11" t="s">
        <v>260</v>
      </c>
      <c r="D153" s="11" t="s">
        <v>212</v>
      </c>
      <c r="E153" s="11" t="s">
        <v>78</v>
      </c>
      <c r="F153" s="14" t="n">
        <v>3250</v>
      </c>
      <c r="G153" s="30" t="n">
        <v>46143</v>
      </c>
      <c r="H153" s="30" t="n">
        <v>46158</v>
      </c>
      <c r="I153" s="30" t="n">
        <v>46153</v>
      </c>
      <c r="J153" s="35" t="n">
        <v>-5</v>
      </c>
      <c r="K153" s="11" t="s">
        <v>278</v>
      </c>
    </row>
    <row r="154" customFormat="false" ht="15" hidden="false" customHeight="false" outlineLevel="0" collapsed="false">
      <c r="A154" s="11" t="s">
        <v>430</v>
      </c>
      <c r="B154" s="11" t="s">
        <v>261</v>
      </c>
      <c r="C154" s="11" t="s">
        <v>262</v>
      </c>
      <c r="D154" s="11" t="s">
        <v>212</v>
      </c>
      <c r="E154" s="11" t="s">
        <v>78</v>
      </c>
      <c r="F154" s="14" t="n">
        <v>6510</v>
      </c>
      <c r="G154" s="30" t="n">
        <v>46143</v>
      </c>
      <c r="H154" s="30" t="n">
        <v>46158</v>
      </c>
      <c r="I154" s="30" t="n">
        <v>46156</v>
      </c>
      <c r="J154" s="35" t="n">
        <v>-2</v>
      </c>
      <c r="K154" s="11" t="s">
        <v>278</v>
      </c>
    </row>
    <row r="155" customFormat="false" ht="15" hidden="false" customHeight="false" outlineLevel="0" collapsed="false">
      <c r="A155" s="11" t="s">
        <v>431</v>
      </c>
      <c r="B155" s="11" t="s">
        <v>265</v>
      </c>
      <c r="C155" s="11" t="s">
        <v>266</v>
      </c>
      <c r="D155" s="11" t="s">
        <v>212</v>
      </c>
      <c r="E155" s="11" t="s">
        <v>78</v>
      </c>
      <c r="F155" s="14" t="n">
        <v>6750</v>
      </c>
      <c r="G155" s="30" t="n">
        <v>46143</v>
      </c>
      <c r="H155" s="30" t="n">
        <v>46158</v>
      </c>
      <c r="I155" s="30" t="n">
        <v>46153</v>
      </c>
      <c r="J155" s="35" t="n">
        <v>-5</v>
      </c>
      <c r="K155" s="11" t="s">
        <v>278</v>
      </c>
    </row>
    <row r="156" customFormat="false" ht="15" hidden="false" customHeight="false" outlineLevel="0" collapsed="false">
      <c r="A156" s="11" t="s">
        <v>432</v>
      </c>
      <c r="B156" s="11" t="s">
        <v>267</v>
      </c>
      <c r="C156" s="11" t="s">
        <v>268</v>
      </c>
      <c r="D156" s="11" t="s">
        <v>212</v>
      </c>
      <c r="E156" s="11" t="s">
        <v>78</v>
      </c>
      <c r="F156" s="14" t="n">
        <v>3420</v>
      </c>
      <c r="G156" s="30" t="n">
        <v>46143</v>
      </c>
      <c r="H156" s="30" t="n">
        <v>46158</v>
      </c>
      <c r="I156" s="30" t="n">
        <v>46155</v>
      </c>
      <c r="J156" s="35" t="n">
        <v>-3</v>
      </c>
      <c r="K156" s="11" t="s">
        <v>278</v>
      </c>
    </row>
    <row r="157" customFormat="false" ht="15" hidden="false" customHeight="false" outlineLevel="0" collapsed="false">
      <c r="A157" s="11" t="s">
        <v>433</v>
      </c>
      <c r="B157" s="11" t="s">
        <v>239</v>
      </c>
      <c r="C157" s="11" t="s">
        <v>240</v>
      </c>
      <c r="D157" s="11" t="s">
        <v>212</v>
      </c>
      <c r="E157" s="11" t="s">
        <v>78</v>
      </c>
      <c r="F157" s="14" t="n">
        <v>7760</v>
      </c>
      <c r="G157" s="30" t="n">
        <v>46174</v>
      </c>
      <c r="H157" s="30" t="n">
        <v>46189</v>
      </c>
      <c r="I157" s="30" t="n">
        <v>46181</v>
      </c>
      <c r="J157" s="35" t="n">
        <v>-8</v>
      </c>
      <c r="K157" s="11" t="s">
        <v>278</v>
      </c>
    </row>
    <row r="158" customFormat="false" ht="15" hidden="false" customHeight="false" outlineLevel="0" collapsed="false">
      <c r="A158" s="11" t="s">
        <v>434</v>
      </c>
      <c r="B158" s="11" t="s">
        <v>242</v>
      </c>
      <c r="C158" s="11" t="s">
        <v>243</v>
      </c>
      <c r="D158" s="11" t="s">
        <v>212</v>
      </c>
      <c r="E158" s="11" t="s">
        <v>78</v>
      </c>
      <c r="F158" s="14" t="n">
        <v>8630</v>
      </c>
      <c r="G158" s="30" t="n">
        <v>46174</v>
      </c>
      <c r="H158" s="30" t="n">
        <v>46189</v>
      </c>
      <c r="I158" s="30" t="n">
        <v>46216</v>
      </c>
      <c r="J158" s="35" t="n">
        <v>27</v>
      </c>
      <c r="K158" s="11" t="s">
        <v>278</v>
      </c>
    </row>
    <row r="159" customFormat="false" ht="15" hidden="false" customHeight="false" outlineLevel="0" collapsed="false">
      <c r="A159" s="11" t="s">
        <v>435</v>
      </c>
      <c r="B159" s="11" t="s">
        <v>253</v>
      </c>
      <c r="C159" s="11" t="s">
        <v>254</v>
      </c>
      <c r="D159" s="11" t="s">
        <v>212</v>
      </c>
      <c r="E159" s="11" t="s">
        <v>78</v>
      </c>
      <c r="F159" s="14" t="n">
        <v>4630</v>
      </c>
      <c r="G159" s="30" t="n">
        <v>46174</v>
      </c>
      <c r="H159" s="30" t="n">
        <v>46189</v>
      </c>
      <c r="I159" s="30" t="n">
        <v>46184</v>
      </c>
      <c r="J159" s="35" t="n">
        <v>-5</v>
      </c>
      <c r="K159" s="11" t="s">
        <v>278</v>
      </c>
    </row>
    <row r="160" customFormat="false" ht="15" hidden="false" customHeight="false" outlineLevel="0" collapsed="false">
      <c r="A160" s="11" t="s">
        <v>436</v>
      </c>
      <c r="B160" s="11" t="s">
        <v>255</v>
      </c>
      <c r="C160" s="11" t="s">
        <v>256</v>
      </c>
      <c r="D160" s="11" t="s">
        <v>212</v>
      </c>
      <c r="E160" s="11" t="s">
        <v>78</v>
      </c>
      <c r="F160" s="14" t="n">
        <v>3880</v>
      </c>
      <c r="G160" s="30" t="n">
        <v>46174</v>
      </c>
      <c r="H160" s="30" t="n">
        <v>46189</v>
      </c>
      <c r="I160" s="30" t="n">
        <v>46181</v>
      </c>
      <c r="J160" s="35" t="n">
        <v>-8</v>
      </c>
      <c r="K160" s="11" t="s">
        <v>278</v>
      </c>
    </row>
    <row r="161" customFormat="false" ht="15" hidden="false" customHeight="false" outlineLevel="0" collapsed="false">
      <c r="A161" s="11" t="s">
        <v>437</v>
      </c>
      <c r="B161" s="11" t="s">
        <v>257</v>
      </c>
      <c r="C161" s="11" t="s">
        <v>258</v>
      </c>
      <c r="D161" s="11" t="s">
        <v>212</v>
      </c>
      <c r="E161" s="11" t="s">
        <v>78</v>
      </c>
      <c r="F161" s="14" t="n">
        <v>9250</v>
      </c>
      <c r="G161" s="30" t="n">
        <v>46174</v>
      </c>
      <c r="H161" s="30" t="n">
        <v>46189</v>
      </c>
      <c r="I161" s="30" t="n">
        <v>46188</v>
      </c>
      <c r="J161" s="35" t="n">
        <v>-1</v>
      </c>
      <c r="K161" s="11" t="s">
        <v>278</v>
      </c>
    </row>
    <row r="162" customFormat="false" ht="15" hidden="false" customHeight="false" outlineLevel="0" collapsed="false">
      <c r="A162" s="11" t="s">
        <v>438</v>
      </c>
      <c r="B162" s="11" t="s">
        <v>259</v>
      </c>
      <c r="C162" s="11" t="s">
        <v>260</v>
      </c>
      <c r="D162" s="11" t="s">
        <v>212</v>
      </c>
      <c r="E162" s="11" t="s">
        <v>78</v>
      </c>
      <c r="F162" s="14" t="n">
        <v>3250</v>
      </c>
      <c r="G162" s="30" t="n">
        <v>46174</v>
      </c>
      <c r="H162" s="30" t="n">
        <v>46189</v>
      </c>
      <c r="I162" s="30" t="n">
        <v>46181</v>
      </c>
      <c r="J162" s="35" t="n">
        <v>-8</v>
      </c>
      <c r="K162" s="11" t="s">
        <v>278</v>
      </c>
    </row>
    <row r="163" customFormat="false" ht="15" hidden="false" customHeight="false" outlineLevel="0" collapsed="false">
      <c r="A163" s="11" t="s">
        <v>439</v>
      </c>
      <c r="B163" s="11" t="s">
        <v>261</v>
      </c>
      <c r="C163" s="11" t="s">
        <v>262</v>
      </c>
      <c r="D163" s="11" t="s">
        <v>212</v>
      </c>
      <c r="E163" s="11" t="s">
        <v>78</v>
      </c>
      <c r="F163" s="14" t="n">
        <v>6510</v>
      </c>
      <c r="G163" s="30" t="n">
        <v>46174</v>
      </c>
      <c r="H163" s="30" t="n">
        <v>46189</v>
      </c>
      <c r="I163" s="30" t="n">
        <v>46185</v>
      </c>
      <c r="J163" s="35" t="n">
        <v>-4</v>
      </c>
      <c r="K163" s="11" t="s">
        <v>278</v>
      </c>
    </row>
    <row r="164" customFormat="false" ht="15" hidden="false" customHeight="false" outlineLevel="0" collapsed="false">
      <c r="A164" s="11" t="s">
        <v>440</v>
      </c>
      <c r="B164" s="11" t="s">
        <v>265</v>
      </c>
      <c r="C164" s="11" t="s">
        <v>266</v>
      </c>
      <c r="D164" s="11" t="s">
        <v>212</v>
      </c>
      <c r="E164" s="11" t="s">
        <v>78</v>
      </c>
      <c r="F164" s="14" t="n">
        <v>6750</v>
      </c>
      <c r="G164" s="30" t="n">
        <v>46174</v>
      </c>
      <c r="H164" s="30" t="n">
        <v>46189</v>
      </c>
      <c r="I164" s="30" t="n">
        <v>46183</v>
      </c>
      <c r="J164" s="35" t="n">
        <v>-6</v>
      </c>
      <c r="K164" s="11" t="s">
        <v>278</v>
      </c>
    </row>
    <row r="165" customFormat="false" ht="15" hidden="false" customHeight="false" outlineLevel="0" collapsed="false">
      <c r="A165" s="11" t="s">
        <v>441</v>
      </c>
      <c r="B165" s="11" t="s">
        <v>267</v>
      </c>
      <c r="C165" s="11" t="s">
        <v>268</v>
      </c>
      <c r="D165" s="11" t="s">
        <v>212</v>
      </c>
      <c r="E165" s="11" t="s">
        <v>78</v>
      </c>
      <c r="F165" s="14" t="n">
        <v>3420</v>
      </c>
      <c r="G165" s="30" t="n">
        <v>46174</v>
      </c>
      <c r="H165" s="30" t="n">
        <v>46189</v>
      </c>
      <c r="I165" s="30" t="n">
        <v>46188</v>
      </c>
      <c r="J165" s="35" t="n">
        <v>-1</v>
      </c>
      <c r="K165" s="11" t="s">
        <v>278</v>
      </c>
    </row>
    <row r="166" customFormat="false" ht="15" hidden="false" customHeight="false" outlineLevel="0" collapsed="false">
      <c r="A166" s="11" t="s">
        <v>442</v>
      </c>
      <c r="B166" s="11" t="s">
        <v>239</v>
      </c>
      <c r="C166" s="11" t="s">
        <v>240</v>
      </c>
      <c r="D166" s="11" t="s">
        <v>212</v>
      </c>
      <c r="E166" s="11" t="s">
        <v>78</v>
      </c>
      <c r="F166" s="14" t="n">
        <v>7760</v>
      </c>
      <c r="G166" s="30" t="n">
        <v>46204</v>
      </c>
      <c r="H166" s="30" t="n">
        <v>46219</v>
      </c>
      <c r="I166" s="30" t="n">
        <v>46212</v>
      </c>
      <c r="J166" s="35" t="n">
        <v>-7</v>
      </c>
      <c r="K166" s="11" t="s">
        <v>278</v>
      </c>
    </row>
    <row r="167" customFormat="false" ht="15" hidden="false" customHeight="false" outlineLevel="0" collapsed="false">
      <c r="A167" s="11" t="s">
        <v>443</v>
      </c>
      <c r="B167" s="11" t="s">
        <v>242</v>
      </c>
      <c r="C167" s="11" t="s">
        <v>243</v>
      </c>
      <c r="D167" s="11" t="s">
        <v>212</v>
      </c>
      <c r="E167" s="11" t="s">
        <v>78</v>
      </c>
      <c r="F167" s="14" t="n">
        <v>8630</v>
      </c>
      <c r="G167" s="30" t="n">
        <v>46204</v>
      </c>
      <c r="H167" s="30" t="n">
        <v>46219</v>
      </c>
      <c r="I167" s="30" t="n">
        <v>46262</v>
      </c>
      <c r="J167" s="35" t="n">
        <v>43</v>
      </c>
      <c r="K167" s="11" t="s">
        <v>278</v>
      </c>
    </row>
    <row r="168" customFormat="false" ht="15" hidden="false" customHeight="false" outlineLevel="0" collapsed="false">
      <c r="A168" s="11" t="s">
        <v>444</v>
      </c>
      <c r="B168" s="11" t="s">
        <v>251</v>
      </c>
      <c r="C168" s="11" t="s">
        <v>252</v>
      </c>
      <c r="D168" s="11" t="s">
        <v>249</v>
      </c>
      <c r="E168" s="11" t="s">
        <v>78</v>
      </c>
      <c r="F168" s="14" t="n">
        <v>40710</v>
      </c>
      <c r="G168" s="30" t="n">
        <v>46204</v>
      </c>
      <c r="H168" s="30" t="n">
        <v>46219</v>
      </c>
      <c r="I168" s="30" t="n">
        <v>46216</v>
      </c>
      <c r="J168" s="35" t="n">
        <v>-3</v>
      </c>
      <c r="K168" s="11" t="s">
        <v>278</v>
      </c>
    </row>
    <row r="169" customFormat="false" ht="15" hidden="false" customHeight="false" outlineLevel="0" collapsed="false">
      <c r="A169" s="11" t="s">
        <v>445</v>
      </c>
      <c r="B169" s="11" t="s">
        <v>253</v>
      </c>
      <c r="C169" s="11" t="s">
        <v>254</v>
      </c>
      <c r="D169" s="11" t="s">
        <v>212</v>
      </c>
      <c r="E169" s="11" t="s">
        <v>78</v>
      </c>
      <c r="F169" s="14" t="n">
        <v>4630</v>
      </c>
      <c r="G169" s="30" t="n">
        <v>46204</v>
      </c>
      <c r="H169" s="30" t="n">
        <v>46219</v>
      </c>
      <c r="I169" s="30" t="n">
        <v>46209</v>
      </c>
      <c r="J169" s="35" t="n">
        <v>-10</v>
      </c>
      <c r="K169" s="11" t="s">
        <v>278</v>
      </c>
    </row>
    <row r="170" customFormat="false" ht="15" hidden="false" customHeight="false" outlineLevel="0" collapsed="false">
      <c r="A170" s="11" t="s">
        <v>446</v>
      </c>
      <c r="B170" s="11" t="s">
        <v>255</v>
      </c>
      <c r="C170" s="11" t="s">
        <v>256</v>
      </c>
      <c r="D170" s="11" t="s">
        <v>212</v>
      </c>
      <c r="E170" s="11" t="s">
        <v>78</v>
      </c>
      <c r="F170" s="14" t="n">
        <v>3880</v>
      </c>
      <c r="G170" s="30" t="n">
        <v>46204</v>
      </c>
      <c r="H170" s="30" t="n">
        <v>46219</v>
      </c>
      <c r="I170" s="30" t="n">
        <v>46211</v>
      </c>
      <c r="J170" s="35" t="n">
        <v>-8</v>
      </c>
      <c r="K170" s="11" t="s">
        <v>278</v>
      </c>
    </row>
    <row r="171" customFormat="false" ht="15" hidden="false" customHeight="false" outlineLevel="0" collapsed="false">
      <c r="A171" s="11" t="s">
        <v>447</v>
      </c>
      <c r="B171" s="11" t="s">
        <v>257</v>
      </c>
      <c r="C171" s="11" t="s">
        <v>258</v>
      </c>
      <c r="D171" s="11" t="s">
        <v>212</v>
      </c>
      <c r="E171" s="11" t="s">
        <v>78</v>
      </c>
      <c r="F171" s="14" t="n">
        <v>9250</v>
      </c>
      <c r="G171" s="30" t="n">
        <v>46204</v>
      </c>
      <c r="H171" s="30" t="n">
        <v>46219</v>
      </c>
      <c r="I171" s="30" t="n">
        <v>46211</v>
      </c>
      <c r="J171" s="35" t="n">
        <v>-8</v>
      </c>
      <c r="K171" s="11" t="s">
        <v>278</v>
      </c>
    </row>
    <row r="172" customFormat="false" ht="15" hidden="false" customHeight="false" outlineLevel="0" collapsed="false">
      <c r="A172" s="11" t="s">
        <v>448</v>
      </c>
      <c r="B172" s="11" t="s">
        <v>259</v>
      </c>
      <c r="C172" s="11" t="s">
        <v>260</v>
      </c>
      <c r="D172" s="11" t="s">
        <v>212</v>
      </c>
      <c r="E172" s="11" t="s">
        <v>78</v>
      </c>
      <c r="F172" s="14" t="n">
        <v>3250</v>
      </c>
      <c r="G172" s="30" t="n">
        <v>46204</v>
      </c>
      <c r="H172" s="30" t="n">
        <v>46219</v>
      </c>
      <c r="I172" s="30" t="n">
        <v>46217</v>
      </c>
      <c r="J172" s="35" t="n">
        <v>-2</v>
      </c>
      <c r="K172" s="11" t="s">
        <v>278</v>
      </c>
    </row>
    <row r="173" customFormat="false" ht="15" hidden="false" customHeight="false" outlineLevel="0" collapsed="false">
      <c r="A173" s="11" t="s">
        <v>449</v>
      </c>
      <c r="B173" s="11" t="s">
        <v>261</v>
      </c>
      <c r="C173" s="11" t="s">
        <v>262</v>
      </c>
      <c r="D173" s="11" t="s">
        <v>212</v>
      </c>
      <c r="E173" s="11" t="s">
        <v>78</v>
      </c>
      <c r="F173" s="14" t="n">
        <v>6510</v>
      </c>
      <c r="G173" s="30" t="n">
        <v>46204</v>
      </c>
      <c r="H173" s="30" t="n">
        <v>46219</v>
      </c>
      <c r="I173" s="30" t="n">
        <v>46216</v>
      </c>
      <c r="J173" s="35" t="n">
        <v>-3</v>
      </c>
      <c r="K173" s="11" t="s">
        <v>278</v>
      </c>
    </row>
    <row r="174" customFormat="false" ht="15" hidden="false" customHeight="false" outlineLevel="0" collapsed="false">
      <c r="A174" s="11" t="s">
        <v>450</v>
      </c>
      <c r="B174" s="11" t="s">
        <v>265</v>
      </c>
      <c r="C174" s="11" t="s">
        <v>266</v>
      </c>
      <c r="D174" s="11" t="s">
        <v>212</v>
      </c>
      <c r="E174" s="11" t="s">
        <v>78</v>
      </c>
      <c r="F174" s="14" t="n">
        <v>6750</v>
      </c>
      <c r="G174" s="30" t="n">
        <v>46204</v>
      </c>
      <c r="H174" s="30" t="n">
        <v>46219</v>
      </c>
      <c r="I174" s="30" t="n">
        <v>46216</v>
      </c>
      <c r="J174" s="35" t="n">
        <v>-3</v>
      </c>
      <c r="K174" s="11" t="s">
        <v>278</v>
      </c>
    </row>
    <row r="175" customFormat="false" ht="15" hidden="false" customHeight="false" outlineLevel="0" collapsed="false">
      <c r="A175" s="11" t="s">
        <v>451</v>
      </c>
      <c r="B175" s="11" t="s">
        <v>267</v>
      </c>
      <c r="C175" s="11" t="s">
        <v>268</v>
      </c>
      <c r="D175" s="11" t="s">
        <v>212</v>
      </c>
      <c r="E175" s="11" t="s">
        <v>78</v>
      </c>
      <c r="F175" s="14" t="n">
        <v>3420</v>
      </c>
      <c r="G175" s="30" t="n">
        <v>46204</v>
      </c>
      <c r="H175" s="30" t="n">
        <v>46219</v>
      </c>
      <c r="I175" s="30" t="n">
        <v>46216</v>
      </c>
      <c r="J175" s="35" t="n">
        <v>-3</v>
      </c>
      <c r="K175" s="11" t="s">
        <v>278</v>
      </c>
    </row>
    <row r="176" customFormat="false" ht="15" hidden="false" customHeight="false" outlineLevel="0" collapsed="false">
      <c r="A176" s="11" t="s">
        <v>452</v>
      </c>
      <c r="B176" s="11" t="s">
        <v>239</v>
      </c>
      <c r="C176" s="11" t="s">
        <v>240</v>
      </c>
      <c r="D176" s="11" t="s">
        <v>212</v>
      </c>
      <c r="E176" s="11" t="s">
        <v>78</v>
      </c>
      <c r="F176" s="14" t="n">
        <v>7760</v>
      </c>
      <c r="G176" s="30" t="n">
        <v>46237</v>
      </c>
      <c r="H176" s="30" t="n">
        <v>46252</v>
      </c>
      <c r="I176" s="30" t="n">
        <v>46244</v>
      </c>
      <c r="J176" s="35" t="n">
        <v>-8</v>
      </c>
      <c r="K176" s="11" t="s">
        <v>278</v>
      </c>
    </row>
    <row r="177" customFormat="false" ht="15" hidden="false" customHeight="false" outlineLevel="0" collapsed="false">
      <c r="A177" s="11" t="s">
        <v>453</v>
      </c>
      <c r="B177" s="11" t="s">
        <v>242</v>
      </c>
      <c r="C177" s="11" t="s">
        <v>243</v>
      </c>
      <c r="D177" s="11" t="s">
        <v>212</v>
      </c>
      <c r="E177" s="11" t="s">
        <v>78</v>
      </c>
      <c r="F177" s="14" t="n">
        <v>8630</v>
      </c>
      <c r="G177" s="30" t="n">
        <v>46237</v>
      </c>
      <c r="H177" s="30" t="n">
        <v>46252</v>
      </c>
      <c r="I177" s="30" t="n">
        <v>46286</v>
      </c>
      <c r="J177" s="35" t="n">
        <v>34</v>
      </c>
      <c r="K177" s="11" t="s">
        <v>278</v>
      </c>
    </row>
    <row r="178" customFormat="false" ht="15" hidden="false" customHeight="false" outlineLevel="0" collapsed="false">
      <c r="A178" s="11" t="s">
        <v>454</v>
      </c>
      <c r="B178" s="11" t="s">
        <v>253</v>
      </c>
      <c r="C178" s="11" t="s">
        <v>254</v>
      </c>
      <c r="D178" s="11" t="s">
        <v>212</v>
      </c>
      <c r="E178" s="11" t="s">
        <v>78</v>
      </c>
      <c r="F178" s="14" t="n">
        <v>4630</v>
      </c>
      <c r="G178" s="30" t="n">
        <v>46237</v>
      </c>
      <c r="H178" s="30" t="n">
        <v>46252</v>
      </c>
      <c r="I178" s="30" t="n">
        <v>46248</v>
      </c>
      <c r="J178" s="35" t="n">
        <v>-4</v>
      </c>
      <c r="K178" s="11" t="s">
        <v>278</v>
      </c>
    </row>
    <row r="179" customFormat="false" ht="15" hidden="false" customHeight="false" outlineLevel="0" collapsed="false">
      <c r="A179" s="11" t="s">
        <v>455</v>
      </c>
      <c r="B179" s="11" t="s">
        <v>255</v>
      </c>
      <c r="C179" s="11" t="s">
        <v>256</v>
      </c>
      <c r="D179" s="11" t="s">
        <v>212</v>
      </c>
      <c r="E179" s="11" t="s">
        <v>78</v>
      </c>
      <c r="F179" s="14" t="n">
        <v>3880</v>
      </c>
      <c r="G179" s="30" t="n">
        <v>46237</v>
      </c>
      <c r="H179" s="30" t="n">
        <v>46252</v>
      </c>
      <c r="I179" s="30" t="n">
        <v>46251</v>
      </c>
      <c r="J179" s="35" t="n">
        <v>-1</v>
      </c>
      <c r="K179" s="11" t="s">
        <v>278</v>
      </c>
    </row>
    <row r="180" customFormat="false" ht="15" hidden="false" customHeight="false" outlineLevel="0" collapsed="false">
      <c r="A180" s="11" t="s">
        <v>456</v>
      </c>
      <c r="B180" s="11" t="s">
        <v>257</v>
      </c>
      <c r="C180" s="11" t="s">
        <v>258</v>
      </c>
      <c r="D180" s="11" t="s">
        <v>212</v>
      </c>
      <c r="E180" s="11" t="s">
        <v>78</v>
      </c>
      <c r="F180" s="14" t="n">
        <v>9250</v>
      </c>
      <c r="G180" s="30" t="n">
        <v>46237</v>
      </c>
      <c r="H180" s="30" t="n">
        <v>46252</v>
      </c>
      <c r="I180" s="30" t="n">
        <v>46245</v>
      </c>
      <c r="J180" s="35" t="n">
        <v>-7</v>
      </c>
      <c r="K180" s="11" t="s">
        <v>278</v>
      </c>
    </row>
    <row r="181" customFormat="false" ht="15" hidden="false" customHeight="false" outlineLevel="0" collapsed="false">
      <c r="A181" s="11" t="s">
        <v>457</v>
      </c>
      <c r="B181" s="11" t="s">
        <v>259</v>
      </c>
      <c r="C181" s="11" t="s">
        <v>260</v>
      </c>
      <c r="D181" s="11" t="s">
        <v>212</v>
      </c>
      <c r="E181" s="11" t="s">
        <v>78</v>
      </c>
      <c r="F181" s="14" t="n">
        <v>3250</v>
      </c>
      <c r="G181" s="30" t="n">
        <v>46237</v>
      </c>
      <c r="H181" s="30" t="n">
        <v>46252</v>
      </c>
      <c r="I181" s="30" t="n">
        <v>46244</v>
      </c>
      <c r="J181" s="35" t="n">
        <v>-8</v>
      </c>
      <c r="K181" s="11" t="s">
        <v>278</v>
      </c>
    </row>
    <row r="182" customFormat="false" ht="15" hidden="false" customHeight="false" outlineLevel="0" collapsed="false">
      <c r="A182" s="11" t="s">
        <v>458</v>
      </c>
      <c r="B182" s="11" t="s">
        <v>261</v>
      </c>
      <c r="C182" s="11" t="s">
        <v>262</v>
      </c>
      <c r="D182" s="11" t="s">
        <v>212</v>
      </c>
      <c r="E182" s="11" t="s">
        <v>78</v>
      </c>
      <c r="F182" s="14" t="n">
        <v>6510</v>
      </c>
      <c r="G182" s="30" t="n">
        <v>46237</v>
      </c>
      <c r="H182" s="30" t="n">
        <v>46252</v>
      </c>
      <c r="I182" s="30" t="n">
        <v>46244</v>
      </c>
      <c r="J182" s="35" t="n">
        <v>-8</v>
      </c>
      <c r="K182" s="11" t="s">
        <v>278</v>
      </c>
    </row>
    <row r="183" customFormat="false" ht="15" hidden="false" customHeight="false" outlineLevel="0" collapsed="false">
      <c r="A183" s="11" t="s">
        <v>459</v>
      </c>
      <c r="B183" s="11" t="s">
        <v>263</v>
      </c>
      <c r="C183" s="11" t="s">
        <v>264</v>
      </c>
      <c r="D183" s="11" t="s">
        <v>212</v>
      </c>
      <c r="E183" s="11" t="s">
        <v>78</v>
      </c>
      <c r="F183" s="14" t="n">
        <v>17110</v>
      </c>
      <c r="G183" s="30" t="n">
        <v>46237</v>
      </c>
      <c r="H183" s="30" t="n">
        <v>46252</v>
      </c>
      <c r="I183" s="30" t="n">
        <v>46255</v>
      </c>
      <c r="J183" s="35" t="n">
        <v>3</v>
      </c>
      <c r="K183" s="11" t="s">
        <v>278</v>
      </c>
    </row>
    <row r="184" customFormat="false" ht="15" hidden="false" customHeight="false" outlineLevel="0" collapsed="false">
      <c r="A184" s="11" t="s">
        <v>460</v>
      </c>
      <c r="B184" s="11" t="s">
        <v>265</v>
      </c>
      <c r="C184" s="11" t="s">
        <v>266</v>
      </c>
      <c r="D184" s="11" t="s">
        <v>212</v>
      </c>
      <c r="E184" s="11" t="s">
        <v>78</v>
      </c>
      <c r="F184" s="14" t="n">
        <v>6750</v>
      </c>
      <c r="G184" s="30" t="n">
        <v>46237</v>
      </c>
      <c r="H184" s="30" t="n">
        <v>46252</v>
      </c>
      <c r="I184" s="30" t="n">
        <v>46245</v>
      </c>
      <c r="J184" s="35" t="n">
        <v>-7</v>
      </c>
      <c r="K184" s="11" t="s">
        <v>278</v>
      </c>
    </row>
    <row r="185" customFormat="false" ht="15" hidden="false" customHeight="false" outlineLevel="0" collapsed="false">
      <c r="A185" s="11" t="s">
        <v>461</v>
      </c>
      <c r="B185" s="11" t="s">
        <v>267</v>
      </c>
      <c r="C185" s="11" t="s">
        <v>268</v>
      </c>
      <c r="D185" s="11" t="s">
        <v>212</v>
      </c>
      <c r="E185" s="11" t="s">
        <v>78</v>
      </c>
      <c r="F185" s="14" t="n">
        <v>3420</v>
      </c>
      <c r="G185" s="30" t="n">
        <v>46237</v>
      </c>
      <c r="H185" s="30" t="n">
        <v>46252</v>
      </c>
      <c r="I185" s="30" t="n">
        <v>46247</v>
      </c>
      <c r="J185" s="35" t="n">
        <v>-5</v>
      </c>
      <c r="K185" s="11" t="s">
        <v>278</v>
      </c>
    </row>
    <row r="186" customFormat="false" ht="15" hidden="false" customHeight="false" outlineLevel="0" collapsed="false">
      <c r="A186" s="11" t="s">
        <v>462</v>
      </c>
      <c r="B186" s="11" t="s">
        <v>239</v>
      </c>
      <c r="C186" s="11" t="s">
        <v>240</v>
      </c>
      <c r="D186" s="11" t="s">
        <v>212</v>
      </c>
      <c r="E186" s="11" t="s">
        <v>78</v>
      </c>
      <c r="F186" s="14" t="n">
        <v>7760</v>
      </c>
      <c r="G186" s="30" t="n">
        <v>46266</v>
      </c>
      <c r="H186" s="30" t="n">
        <v>46281</v>
      </c>
      <c r="I186" s="30" t="n">
        <v>46279</v>
      </c>
      <c r="J186" s="35" t="n">
        <v>-2</v>
      </c>
      <c r="K186" s="11" t="s">
        <v>278</v>
      </c>
    </row>
    <row r="187" customFormat="false" ht="15" hidden="false" customHeight="false" outlineLevel="0" collapsed="false">
      <c r="A187" s="11" t="s">
        <v>463</v>
      </c>
      <c r="B187" s="11" t="s">
        <v>242</v>
      </c>
      <c r="C187" s="11" t="s">
        <v>243</v>
      </c>
      <c r="D187" s="11" t="s">
        <v>212</v>
      </c>
      <c r="E187" s="11" t="s">
        <v>78</v>
      </c>
      <c r="F187" s="14" t="n">
        <v>8630</v>
      </c>
      <c r="G187" s="30" t="n">
        <v>46266</v>
      </c>
      <c r="H187" s="30" t="n">
        <v>46281</v>
      </c>
      <c r="I187" s="30" t="n">
        <v>46315</v>
      </c>
      <c r="J187" s="35" t="n">
        <v>34</v>
      </c>
      <c r="K187" s="11" t="s">
        <v>278</v>
      </c>
    </row>
    <row r="188" customFormat="false" ht="15" hidden="false" customHeight="false" outlineLevel="0" collapsed="false">
      <c r="A188" s="11" t="s">
        <v>464</v>
      </c>
      <c r="B188" s="11" t="s">
        <v>253</v>
      </c>
      <c r="C188" s="11" t="s">
        <v>254</v>
      </c>
      <c r="D188" s="11" t="s">
        <v>212</v>
      </c>
      <c r="E188" s="11" t="s">
        <v>78</v>
      </c>
      <c r="F188" s="14" t="n">
        <v>4630</v>
      </c>
      <c r="G188" s="30" t="n">
        <v>46266</v>
      </c>
      <c r="H188" s="30" t="n">
        <v>46281</v>
      </c>
      <c r="I188" s="30" t="n">
        <v>46272</v>
      </c>
      <c r="J188" s="35" t="n">
        <v>-9</v>
      </c>
      <c r="K188" s="11" t="s">
        <v>278</v>
      </c>
    </row>
    <row r="189" customFormat="false" ht="15" hidden="false" customHeight="false" outlineLevel="0" collapsed="false">
      <c r="A189" s="11" t="s">
        <v>465</v>
      </c>
      <c r="B189" s="11" t="s">
        <v>255</v>
      </c>
      <c r="C189" s="11" t="s">
        <v>256</v>
      </c>
      <c r="D189" s="11" t="s">
        <v>212</v>
      </c>
      <c r="E189" s="11" t="s">
        <v>78</v>
      </c>
      <c r="F189" s="14" t="n">
        <v>3880</v>
      </c>
      <c r="G189" s="30" t="n">
        <v>46266</v>
      </c>
      <c r="H189" s="30" t="n">
        <v>46281</v>
      </c>
      <c r="I189" s="30" t="n">
        <v>46280</v>
      </c>
      <c r="J189" s="35" t="n">
        <v>-1</v>
      </c>
      <c r="K189" s="11" t="s">
        <v>278</v>
      </c>
    </row>
    <row r="190" customFormat="false" ht="15" hidden="false" customHeight="false" outlineLevel="0" collapsed="false">
      <c r="A190" s="11" t="s">
        <v>466</v>
      </c>
      <c r="B190" s="11" t="s">
        <v>257</v>
      </c>
      <c r="C190" s="11" t="s">
        <v>258</v>
      </c>
      <c r="D190" s="11" t="s">
        <v>212</v>
      </c>
      <c r="E190" s="11" t="s">
        <v>78</v>
      </c>
      <c r="F190" s="14" t="n">
        <v>9250</v>
      </c>
      <c r="G190" s="30" t="n">
        <v>46266</v>
      </c>
      <c r="H190" s="30" t="n">
        <v>46281</v>
      </c>
      <c r="I190" s="30" t="n">
        <v>46273</v>
      </c>
      <c r="J190" s="35" t="n">
        <v>-8</v>
      </c>
      <c r="K190" s="11" t="s">
        <v>278</v>
      </c>
    </row>
    <row r="191" customFormat="false" ht="15" hidden="false" customHeight="false" outlineLevel="0" collapsed="false">
      <c r="A191" s="11" t="s">
        <v>467</v>
      </c>
      <c r="B191" s="11" t="s">
        <v>259</v>
      </c>
      <c r="C191" s="11" t="s">
        <v>260</v>
      </c>
      <c r="D191" s="11" t="s">
        <v>212</v>
      </c>
      <c r="E191" s="11" t="s">
        <v>78</v>
      </c>
      <c r="F191" s="14" t="n">
        <v>3250</v>
      </c>
      <c r="G191" s="30" t="n">
        <v>46266</v>
      </c>
      <c r="H191" s="30" t="n">
        <v>46281</v>
      </c>
      <c r="I191" s="30" t="n">
        <v>46280</v>
      </c>
      <c r="J191" s="35" t="n">
        <v>-1</v>
      </c>
      <c r="K191" s="11" t="s">
        <v>278</v>
      </c>
    </row>
    <row r="192" customFormat="false" ht="15" hidden="false" customHeight="false" outlineLevel="0" collapsed="false">
      <c r="A192" s="11" t="s">
        <v>468</v>
      </c>
      <c r="B192" s="11" t="s">
        <v>261</v>
      </c>
      <c r="C192" s="11" t="s">
        <v>262</v>
      </c>
      <c r="D192" s="11" t="s">
        <v>212</v>
      </c>
      <c r="E192" s="11" t="s">
        <v>78</v>
      </c>
      <c r="F192" s="14" t="n">
        <v>6510</v>
      </c>
      <c r="G192" s="30" t="n">
        <v>46266</v>
      </c>
      <c r="H192" s="30" t="n">
        <v>46281</v>
      </c>
      <c r="I192" s="30" t="n">
        <v>46272</v>
      </c>
      <c r="J192" s="35" t="n">
        <v>-9</v>
      </c>
      <c r="K192" s="11" t="s">
        <v>278</v>
      </c>
    </row>
    <row r="193" customFormat="false" ht="15" hidden="false" customHeight="false" outlineLevel="0" collapsed="false">
      <c r="A193" s="11" t="s">
        <v>469</v>
      </c>
      <c r="B193" s="11" t="s">
        <v>263</v>
      </c>
      <c r="C193" s="11" t="s">
        <v>264</v>
      </c>
      <c r="D193" s="11" t="s">
        <v>212</v>
      </c>
      <c r="E193" s="11" t="s">
        <v>78</v>
      </c>
      <c r="F193" s="14" t="n">
        <v>17110</v>
      </c>
      <c r="G193" s="30" t="n">
        <v>46266</v>
      </c>
      <c r="H193" s="30" t="n">
        <v>46281</v>
      </c>
      <c r="I193" s="30" t="n">
        <v>46287</v>
      </c>
      <c r="J193" s="35" t="n">
        <v>6</v>
      </c>
      <c r="K193" s="11" t="s">
        <v>278</v>
      </c>
    </row>
    <row r="194" customFormat="false" ht="15" hidden="false" customHeight="false" outlineLevel="0" collapsed="false">
      <c r="A194" s="11" t="s">
        <v>470</v>
      </c>
      <c r="B194" s="11" t="s">
        <v>265</v>
      </c>
      <c r="C194" s="11" t="s">
        <v>266</v>
      </c>
      <c r="D194" s="11" t="s">
        <v>212</v>
      </c>
      <c r="E194" s="11" t="s">
        <v>78</v>
      </c>
      <c r="F194" s="14" t="n">
        <v>6750</v>
      </c>
      <c r="G194" s="30" t="n">
        <v>46266</v>
      </c>
      <c r="H194" s="30" t="n">
        <v>46281</v>
      </c>
      <c r="I194" s="30" t="n">
        <v>46279</v>
      </c>
      <c r="J194" s="35" t="n">
        <v>-2</v>
      </c>
      <c r="K194" s="11" t="s">
        <v>278</v>
      </c>
    </row>
    <row r="195" customFormat="false" ht="15" hidden="false" customHeight="false" outlineLevel="0" collapsed="false">
      <c r="A195" s="11" t="s">
        <v>471</v>
      </c>
      <c r="B195" s="11" t="s">
        <v>267</v>
      </c>
      <c r="C195" s="11" t="s">
        <v>268</v>
      </c>
      <c r="D195" s="11" t="s">
        <v>212</v>
      </c>
      <c r="E195" s="11" t="s">
        <v>78</v>
      </c>
      <c r="F195" s="14" t="n">
        <v>3420</v>
      </c>
      <c r="G195" s="30" t="n">
        <v>46266</v>
      </c>
      <c r="H195" s="30" t="n">
        <v>46281</v>
      </c>
      <c r="I195" s="30" t="n">
        <v>46279</v>
      </c>
      <c r="J195" s="35" t="n">
        <v>-2</v>
      </c>
      <c r="K195" s="11" t="s">
        <v>278</v>
      </c>
    </row>
    <row r="196" customFormat="false" ht="15" hidden="false" customHeight="false" outlineLevel="0" collapsed="false">
      <c r="A196" s="11" t="s">
        <v>472</v>
      </c>
      <c r="B196" s="11" t="s">
        <v>239</v>
      </c>
      <c r="C196" s="11" t="s">
        <v>240</v>
      </c>
      <c r="D196" s="11" t="s">
        <v>212</v>
      </c>
      <c r="E196" s="11" t="s">
        <v>78</v>
      </c>
      <c r="F196" s="14" t="n">
        <v>7760</v>
      </c>
      <c r="G196" s="30" t="n">
        <v>46296</v>
      </c>
      <c r="H196" s="30" t="n">
        <v>46311</v>
      </c>
      <c r="I196" s="30" t="n">
        <v>46309</v>
      </c>
      <c r="J196" s="35" t="n">
        <v>-2</v>
      </c>
      <c r="K196" s="11" t="s">
        <v>278</v>
      </c>
    </row>
    <row r="197" customFormat="false" ht="15" hidden="false" customHeight="false" outlineLevel="0" collapsed="false">
      <c r="A197" s="11" t="s">
        <v>473</v>
      </c>
      <c r="B197" s="11" t="s">
        <v>242</v>
      </c>
      <c r="C197" s="11" t="s">
        <v>243</v>
      </c>
      <c r="D197" s="11" t="s">
        <v>212</v>
      </c>
      <c r="E197" s="11" t="s">
        <v>78</v>
      </c>
      <c r="F197" s="14" t="n">
        <v>8630</v>
      </c>
      <c r="G197" s="30" t="n">
        <v>46296</v>
      </c>
      <c r="H197" s="30" t="n">
        <v>46311</v>
      </c>
      <c r="I197" s="11"/>
      <c r="J197" s="35"/>
      <c r="K197" s="11" t="s">
        <v>474</v>
      </c>
    </row>
    <row r="198" customFormat="false" ht="15" hidden="false" customHeight="false" outlineLevel="0" collapsed="false">
      <c r="A198" s="11" t="s">
        <v>475</v>
      </c>
      <c r="B198" s="11" t="s">
        <v>253</v>
      </c>
      <c r="C198" s="11" t="s">
        <v>254</v>
      </c>
      <c r="D198" s="11" t="s">
        <v>212</v>
      </c>
      <c r="E198" s="11" t="s">
        <v>78</v>
      </c>
      <c r="F198" s="14" t="n">
        <v>4630</v>
      </c>
      <c r="G198" s="30" t="n">
        <v>46296</v>
      </c>
      <c r="H198" s="30" t="n">
        <v>46311</v>
      </c>
      <c r="I198" s="30" t="n">
        <v>46303</v>
      </c>
      <c r="J198" s="35" t="n">
        <v>-8</v>
      </c>
      <c r="K198" s="11" t="s">
        <v>278</v>
      </c>
    </row>
    <row r="199" customFormat="false" ht="15" hidden="false" customHeight="false" outlineLevel="0" collapsed="false">
      <c r="A199" s="11" t="s">
        <v>476</v>
      </c>
      <c r="B199" s="11" t="s">
        <v>255</v>
      </c>
      <c r="C199" s="11" t="s">
        <v>256</v>
      </c>
      <c r="D199" s="11" t="s">
        <v>212</v>
      </c>
      <c r="E199" s="11" t="s">
        <v>78</v>
      </c>
      <c r="F199" s="14" t="n">
        <v>3880</v>
      </c>
      <c r="G199" s="30" t="n">
        <v>46296</v>
      </c>
      <c r="H199" s="30" t="n">
        <v>46311</v>
      </c>
      <c r="I199" s="30" t="n">
        <v>46302</v>
      </c>
      <c r="J199" s="35" t="n">
        <v>-9</v>
      </c>
      <c r="K199" s="11" t="s">
        <v>278</v>
      </c>
    </row>
    <row r="200" customFormat="false" ht="15" hidden="false" customHeight="false" outlineLevel="0" collapsed="false">
      <c r="A200" s="11" t="s">
        <v>477</v>
      </c>
      <c r="B200" s="11" t="s">
        <v>257</v>
      </c>
      <c r="C200" s="11" t="s">
        <v>258</v>
      </c>
      <c r="D200" s="11" t="s">
        <v>212</v>
      </c>
      <c r="E200" s="11" t="s">
        <v>78</v>
      </c>
      <c r="F200" s="14" t="n">
        <v>9250</v>
      </c>
      <c r="G200" s="30" t="n">
        <v>46296</v>
      </c>
      <c r="H200" s="30" t="n">
        <v>46311</v>
      </c>
      <c r="I200" s="30" t="n">
        <v>46307</v>
      </c>
      <c r="J200" s="35" t="n">
        <v>-4</v>
      </c>
      <c r="K200" s="11" t="s">
        <v>278</v>
      </c>
    </row>
    <row r="201" customFormat="false" ht="15" hidden="false" customHeight="false" outlineLevel="0" collapsed="false">
      <c r="A201" s="11" t="s">
        <v>478</v>
      </c>
      <c r="B201" s="11" t="s">
        <v>259</v>
      </c>
      <c r="C201" s="11" t="s">
        <v>260</v>
      </c>
      <c r="D201" s="11" t="s">
        <v>212</v>
      </c>
      <c r="E201" s="11" t="s">
        <v>78</v>
      </c>
      <c r="F201" s="14" t="n">
        <v>3250</v>
      </c>
      <c r="G201" s="30" t="n">
        <v>46296</v>
      </c>
      <c r="H201" s="30" t="n">
        <v>46311</v>
      </c>
      <c r="I201" s="30" t="n">
        <v>46307</v>
      </c>
      <c r="J201" s="35" t="n">
        <v>-4</v>
      </c>
      <c r="K201" s="11" t="s">
        <v>278</v>
      </c>
    </row>
    <row r="202" customFormat="false" ht="15" hidden="false" customHeight="false" outlineLevel="0" collapsed="false">
      <c r="A202" s="11" t="s">
        <v>479</v>
      </c>
      <c r="B202" s="11" t="s">
        <v>261</v>
      </c>
      <c r="C202" s="11" t="s">
        <v>262</v>
      </c>
      <c r="D202" s="11" t="s">
        <v>212</v>
      </c>
      <c r="E202" s="11" t="s">
        <v>78</v>
      </c>
      <c r="F202" s="14" t="n">
        <v>6510</v>
      </c>
      <c r="G202" s="30" t="n">
        <v>46296</v>
      </c>
      <c r="H202" s="30" t="n">
        <v>46311</v>
      </c>
      <c r="I202" s="30" t="n">
        <v>46307</v>
      </c>
      <c r="J202" s="35" t="n">
        <v>-4</v>
      </c>
      <c r="K202" s="11" t="s">
        <v>278</v>
      </c>
    </row>
    <row r="203" customFormat="false" ht="15" hidden="false" customHeight="false" outlineLevel="0" collapsed="false">
      <c r="A203" s="11" t="s">
        <v>480</v>
      </c>
      <c r="B203" s="11" t="s">
        <v>263</v>
      </c>
      <c r="C203" s="11" t="s">
        <v>264</v>
      </c>
      <c r="D203" s="11" t="s">
        <v>212</v>
      </c>
      <c r="E203" s="11" t="s">
        <v>78</v>
      </c>
      <c r="F203" s="14" t="n">
        <v>17110</v>
      </c>
      <c r="G203" s="30" t="n">
        <v>46296</v>
      </c>
      <c r="H203" s="30" t="n">
        <v>46311</v>
      </c>
      <c r="I203" s="30" t="n">
        <v>46315</v>
      </c>
      <c r="J203" s="35" t="n">
        <v>4</v>
      </c>
      <c r="K203" s="11" t="s">
        <v>278</v>
      </c>
    </row>
    <row r="204" customFormat="false" ht="15" hidden="false" customHeight="false" outlineLevel="0" collapsed="false">
      <c r="A204" s="11" t="s">
        <v>481</v>
      </c>
      <c r="B204" s="11" t="s">
        <v>265</v>
      </c>
      <c r="C204" s="11" t="s">
        <v>266</v>
      </c>
      <c r="D204" s="11" t="s">
        <v>212</v>
      </c>
      <c r="E204" s="11" t="s">
        <v>78</v>
      </c>
      <c r="F204" s="14" t="n">
        <v>6750</v>
      </c>
      <c r="G204" s="30" t="n">
        <v>46296</v>
      </c>
      <c r="H204" s="30" t="n">
        <v>46311</v>
      </c>
      <c r="I204" s="30" t="n">
        <v>46302</v>
      </c>
      <c r="J204" s="35" t="n">
        <v>-9</v>
      </c>
      <c r="K204" s="11" t="s">
        <v>278</v>
      </c>
    </row>
    <row r="205" customFormat="false" ht="15" hidden="false" customHeight="false" outlineLevel="0" collapsed="false">
      <c r="A205" s="11" t="s">
        <v>482</v>
      </c>
      <c r="B205" s="11" t="s">
        <v>267</v>
      </c>
      <c r="C205" s="11" t="s">
        <v>268</v>
      </c>
      <c r="D205" s="11" t="s">
        <v>212</v>
      </c>
      <c r="E205" s="11" t="s">
        <v>78</v>
      </c>
      <c r="F205" s="14" t="n">
        <v>3420</v>
      </c>
      <c r="G205" s="30" t="n">
        <v>46296</v>
      </c>
      <c r="H205" s="30" t="n">
        <v>46311</v>
      </c>
      <c r="I205" s="30" t="n">
        <v>46304</v>
      </c>
      <c r="J205" s="35" t="n">
        <v>-7</v>
      </c>
      <c r="K205" s="11" t="s">
        <v>278</v>
      </c>
    </row>
    <row r="206" customFormat="false" ht="15" hidden="false" customHeight="false" outlineLevel="0" collapsed="false">
      <c r="A206" s="11" t="s">
        <v>483</v>
      </c>
      <c r="B206" s="11" t="s">
        <v>239</v>
      </c>
      <c r="C206" s="11" t="s">
        <v>240</v>
      </c>
      <c r="D206" s="11" t="s">
        <v>212</v>
      </c>
      <c r="E206" s="11" t="s">
        <v>78</v>
      </c>
      <c r="F206" s="14" t="n">
        <v>7760</v>
      </c>
      <c r="G206" s="30" t="n">
        <v>46328</v>
      </c>
      <c r="H206" s="30" t="n">
        <v>46343</v>
      </c>
      <c r="I206" s="11"/>
      <c r="J206" s="35"/>
      <c r="K206" s="11" t="s">
        <v>484</v>
      </c>
    </row>
    <row r="207" customFormat="false" ht="15" hidden="false" customHeight="false" outlineLevel="0" collapsed="false">
      <c r="A207" s="11" t="s">
        <v>485</v>
      </c>
      <c r="B207" s="11" t="s">
        <v>242</v>
      </c>
      <c r="C207" s="11" t="s">
        <v>243</v>
      </c>
      <c r="D207" s="11" t="s">
        <v>212</v>
      </c>
      <c r="E207" s="11" t="s">
        <v>78</v>
      </c>
      <c r="F207" s="14" t="n">
        <v>8630</v>
      </c>
      <c r="G207" s="30" t="n">
        <v>46328</v>
      </c>
      <c r="H207" s="30" t="n">
        <v>46343</v>
      </c>
      <c r="I207" s="11"/>
      <c r="J207" s="35"/>
      <c r="K207" s="11" t="s">
        <v>484</v>
      </c>
    </row>
    <row r="208" customFormat="false" ht="15" hidden="false" customHeight="false" outlineLevel="0" collapsed="false">
      <c r="A208" s="11" t="s">
        <v>486</v>
      </c>
      <c r="B208" s="11" t="s">
        <v>253</v>
      </c>
      <c r="C208" s="11" t="s">
        <v>254</v>
      </c>
      <c r="D208" s="11" t="s">
        <v>212</v>
      </c>
      <c r="E208" s="11" t="s">
        <v>78</v>
      </c>
      <c r="F208" s="14" t="n">
        <v>4630</v>
      </c>
      <c r="G208" s="30" t="n">
        <v>46328</v>
      </c>
      <c r="H208" s="30" t="n">
        <v>46343</v>
      </c>
      <c r="I208" s="11"/>
      <c r="J208" s="35"/>
      <c r="K208" s="11" t="s">
        <v>484</v>
      </c>
    </row>
    <row r="209" customFormat="false" ht="15" hidden="false" customHeight="false" outlineLevel="0" collapsed="false">
      <c r="A209" s="11" t="s">
        <v>487</v>
      </c>
      <c r="B209" s="11" t="s">
        <v>255</v>
      </c>
      <c r="C209" s="11" t="s">
        <v>256</v>
      </c>
      <c r="D209" s="11" t="s">
        <v>212</v>
      </c>
      <c r="E209" s="11" t="s">
        <v>78</v>
      </c>
      <c r="F209" s="14" t="n">
        <v>3880</v>
      </c>
      <c r="G209" s="30" t="n">
        <v>46328</v>
      </c>
      <c r="H209" s="30" t="n">
        <v>46343</v>
      </c>
      <c r="I209" s="11"/>
      <c r="J209" s="35"/>
      <c r="K209" s="11" t="s">
        <v>484</v>
      </c>
    </row>
    <row r="210" customFormat="false" ht="15" hidden="false" customHeight="false" outlineLevel="0" collapsed="false">
      <c r="A210" s="11" t="s">
        <v>488</v>
      </c>
      <c r="B210" s="11" t="s">
        <v>257</v>
      </c>
      <c r="C210" s="11" t="s">
        <v>258</v>
      </c>
      <c r="D210" s="11" t="s">
        <v>212</v>
      </c>
      <c r="E210" s="11" t="s">
        <v>78</v>
      </c>
      <c r="F210" s="14" t="n">
        <v>9250</v>
      </c>
      <c r="G210" s="30" t="n">
        <v>46328</v>
      </c>
      <c r="H210" s="30" t="n">
        <v>46343</v>
      </c>
      <c r="I210" s="11"/>
      <c r="J210" s="35"/>
      <c r="K210" s="11" t="s">
        <v>484</v>
      </c>
    </row>
    <row r="211" customFormat="false" ht="15" hidden="false" customHeight="false" outlineLevel="0" collapsed="false">
      <c r="A211" s="11" t="s">
        <v>489</v>
      </c>
      <c r="B211" s="11" t="s">
        <v>259</v>
      </c>
      <c r="C211" s="11" t="s">
        <v>260</v>
      </c>
      <c r="D211" s="11" t="s">
        <v>212</v>
      </c>
      <c r="E211" s="11" t="s">
        <v>78</v>
      </c>
      <c r="F211" s="14" t="n">
        <v>3250</v>
      </c>
      <c r="G211" s="30" t="n">
        <v>46328</v>
      </c>
      <c r="H211" s="30" t="n">
        <v>46343</v>
      </c>
      <c r="I211" s="11"/>
      <c r="J211" s="35"/>
      <c r="K211" s="11" t="s">
        <v>484</v>
      </c>
    </row>
    <row r="212" customFormat="false" ht="15" hidden="false" customHeight="false" outlineLevel="0" collapsed="false">
      <c r="A212" s="11" t="s">
        <v>490</v>
      </c>
      <c r="B212" s="11" t="s">
        <v>261</v>
      </c>
      <c r="C212" s="11" t="s">
        <v>262</v>
      </c>
      <c r="D212" s="11" t="s">
        <v>212</v>
      </c>
      <c r="E212" s="11" t="s">
        <v>78</v>
      </c>
      <c r="F212" s="14" t="n">
        <v>6510</v>
      </c>
      <c r="G212" s="30" t="n">
        <v>46328</v>
      </c>
      <c r="H212" s="30" t="n">
        <v>46343</v>
      </c>
      <c r="I212" s="11"/>
      <c r="J212" s="35"/>
      <c r="K212" s="11" t="s">
        <v>484</v>
      </c>
    </row>
    <row r="213" customFormat="false" ht="15" hidden="false" customHeight="false" outlineLevel="0" collapsed="false">
      <c r="A213" s="11" t="s">
        <v>491</v>
      </c>
      <c r="B213" s="11" t="s">
        <v>263</v>
      </c>
      <c r="C213" s="11" t="s">
        <v>264</v>
      </c>
      <c r="D213" s="11" t="s">
        <v>212</v>
      </c>
      <c r="E213" s="11" t="s">
        <v>78</v>
      </c>
      <c r="F213" s="14" t="n">
        <v>17110</v>
      </c>
      <c r="G213" s="30" t="n">
        <v>46328</v>
      </c>
      <c r="H213" s="30" t="n">
        <v>46343</v>
      </c>
      <c r="I213" s="11"/>
      <c r="J213" s="35"/>
      <c r="K213" s="11" t="s">
        <v>484</v>
      </c>
    </row>
    <row r="214" customFormat="false" ht="15" hidden="false" customHeight="false" outlineLevel="0" collapsed="false">
      <c r="A214" s="11" t="s">
        <v>492</v>
      </c>
      <c r="B214" s="11" t="s">
        <v>265</v>
      </c>
      <c r="C214" s="11" t="s">
        <v>266</v>
      </c>
      <c r="D214" s="11" t="s">
        <v>212</v>
      </c>
      <c r="E214" s="11" t="s">
        <v>78</v>
      </c>
      <c r="F214" s="14" t="n">
        <v>6750</v>
      </c>
      <c r="G214" s="30" t="n">
        <v>46328</v>
      </c>
      <c r="H214" s="30" t="n">
        <v>46343</v>
      </c>
      <c r="I214" s="11"/>
      <c r="J214" s="35"/>
      <c r="K214" s="11" t="s">
        <v>484</v>
      </c>
    </row>
    <row r="215" customFormat="false" ht="15" hidden="false" customHeight="false" outlineLevel="0" collapsed="false">
      <c r="A215" s="11" t="s">
        <v>493</v>
      </c>
      <c r="B215" s="11" t="s">
        <v>267</v>
      </c>
      <c r="C215" s="11" t="s">
        <v>268</v>
      </c>
      <c r="D215" s="11" t="s">
        <v>212</v>
      </c>
      <c r="E215" s="11" t="s">
        <v>78</v>
      </c>
      <c r="F215" s="14" t="n">
        <v>3420</v>
      </c>
      <c r="G215" s="30" t="n">
        <v>46328</v>
      </c>
      <c r="H215" s="30" t="n">
        <v>46343</v>
      </c>
      <c r="I215" s="11"/>
      <c r="J215" s="35"/>
      <c r="K215" s="11" t="s">
        <v>484</v>
      </c>
    </row>
    <row r="216" customFormat="false" ht="15" hidden="false" customHeight="false" outlineLevel="0" collapsed="false">
      <c r="A216" s="11" t="s">
        <v>494</v>
      </c>
      <c r="B216" s="11" t="s">
        <v>239</v>
      </c>
      <c r="C216" s="11" t="s">
        <v>240</v>
      </c>
      <c r="D216" s="11" t="s">
        <v>212</v>
      </c>
      <c r="E216" s="11" t="s">
        <v>78</v>
      </c>
      <c r="F216" s="14" t="n">
        <v>7760</v>
      </c>
      <c r="G216" s="30" t="n">
        <v>46357</v>
      </c>
      <c r="H216" s="30" t="n">
        <v>46372</v>
      </c>
      <c r="I216" s="11"/>
      <c r="J216" s="35"/>
      <c r="K216" s="11" t="s">
        <v>484</v>
      </c>
    </row>
    <row r="217" customFormat="false" ht="15" hidden="false" customHeight="false" outlineLevel="0" collapsed="false">
      <c r="A217" s="11" t="s">
        <v>495</v>
      </c>
      <c r="B217" s="11" t="s">
        <v>242</v>
      </c>
      <c r="C217" s="11" t="s">
        <v>243</v>
      </c>
      <c r="D217" s="11" t="s">
        <v>212</v>
      </c>
      <c r="E217" s="11" t="s">
        <v>78</v>
      </c>
      <c r="F217" s="14" t="n">
        <v>8630</v>
      </c>
      <c r="G217" s="30" t="n">
        <v>46357</v>
      </c>
      <c r="H217" s="30" t="n">
        <v>46372</v>
      </c>
      <c r="I217" s="11"/>
      <c r="J217" s="35"/>
      <c r="K217" s="11" t="s">
        <v>484</v>
      </c>
    </row>
    <row r="218" customFormat="false" ht="15" hidden="false" customHeight="false" outlineLevel="0" collapsed="false">
      <c r="A218" s="11" t="s">
        <v>496</v>
      </c>
      <c r="B218" s="11" t="s">
        <v>253</v>
      </c>
      <c r="C218" s="11" t="s">
        <v>254</v>
      </c>
      <c r="D218" s="11" t="s">
        <v>212</v>
      </c>
      <c r="E218" s="11" t="s">
        <v>78</v>
      </c>
      <c r="F218" s="14" t="n">
        <v>4630</v>
      </c>
      <c r="G218" s="30" t="n">
        <v>46357</v>
      </c>
      <c r="H218" s="30" t="n">
        <v>46372</v>
      </c>
      <c r="I218" s="11"/>
      <c r="J218" s="35"/>
      <c r="K218" s="11" t="s">
        <v>484</v>
      </c>
    </row>
    <row r="219" customFormat="false" ht="15" hidden="false" customHeight="false" outlineLevel="0" collapsed="false">
      <c r="A219" s="11" t="s">
        <v>497</v>
      </c>
      <c r="B219" s="11" t="s">
        <v>255</v>
      </c>
      <c r="C219" s="11" t="s">
        <v>256</v>
      </c>
      <c r="D219" s="11" t="s">
        <v>212</v>
      </c>
      <c r="E219" s="11" t="s">
        <v>78</v>
      </c>
      <c r="F219" s="14" t="n">
        <v>3880</v>
      </c>
      <c r="G219" s="30" t="n">
        <v>46357</v>
      </c>
      <c r="H219" s="30" t="n">
        <v>46372</v>
      </c>
      <c r="I219" s="11"/>
      <c r="J219" s="35"/>
      <c r="K219" s="11" t="s">
        <v>484</v>
      </c>
    </row>
    <row r="220" customFormat="false" ht="15" hidden="false" customHeight="false" outlineLevel="0" collapsed="false">
      <c r="A220" s="11" t="s">
        <v>498</v>
      </c>
      <c r="B220" s="11" t="s">
        <v>257</v>
      </c>
      <c r="C220" s="11" t="s">
        <v>258</v>
      </c>
      <c r="D220" s="11" t="s">
        <v>212</v>
      </c>
      <c r="E220" s="11" t="s">
        <v>78</v>
      </c>
      <c r="F220" s="14" t="n">
        <v>9250</v>
      </c>
      <c r="G220" s="30" t="n">
        <v>46357</v>
      </c>
      <c r="H220" s="30" t="n">
        <v>46372</v>
      </c>
      <c r="I220" s="11"/>
      <c r="J220" s="35"/>
      <c r="K220" s="11" t="s">
        <v>484</v>
      </c>
    </row>
    <row r="221" customFormat="false" ht="15" hidden="false" customHeight="false" outlineLevel="0" collapsed="false">
      <c r="A221" s="11" t="s">
        <v>499</v>
      </c>
      <c r="B221" s="11" t="s">
        <v>259</v>
      </c>
      <c r="C221" s="11" t="s">
        <v>260</v>
      </c>
      <c r="D221" s="11" t="s">
        <v>212</v>
      </c>
      <c r="E221" s="11" t="s">
        <v>78</v>
      </c>
      <c r="F221" s="14" t="n">
        <v>3250</v>
      </c>
      <c r="G221" s="30" t="n">
        <v>46357</v>
      </c>
      <c r="H221" s="30" t="n">
        <v>46372</v>
      </c>
      <c r="I221" s="11"/>
      <c r="J221" s="35"/>
      <c r="K221" s="11" t="s">
        <v>484</v>
      </c>
    </row>
    <row r="222" customFormat="false" ht="15" hidden="false" customHeight="false" outlineLevel="0" collapsed="false">
      <c r="A222" s="11" t="s">
        <v>500</v>
      </c>
      <c r="B222" s="11" t="s">
        <v>261</v>
      </c>
      <c r="C222" s="11" t="s">
        <v>262</v>
      </c>
      <c r="D222" s="11" t="s">
        <v>212</v>
      </c>
      <c r="E222" s="11" t="s">
        <v>78</v>
      </c>
      <c r="F222" s="14" t="n">
        <v>6510</v>
      </c>
      <c r="G222" s="30" t="n">
        <v>46357</v>
      </c>
      <c r="H222" s="30" t="n">
        <v>46372</v>
      </c>
      <c r="I222" s="11"/>
      <c r="J222" s="35"/>
      <c r="K222" s="11" t="s">
        <v>484</v>
      </c>
    </row>
    <row r="223" customFormat="false" ht="15" hidden="false" customHeight="false" outlineLevel="0" collapsed="false">
      <c r="A223" s="11" t="s">
        <v>501</v>
      </c>
      <c r="B223" s="11" t="s">
        <v>263</v>
      </c>
      <c r="C223" s="11" t="s">
        <v>264</v>
      </c>
      <c r="D223" s="11" t="s">
        <v>212</v>
      </c>
      <c r="E223" s="11" t="s">
        <v>78</v>
      </c>
      <c r="F223" s="14" t="n">
        <v>17110</v>
      </c>
      <c r="G223" s="30" t="n">
        <v>46357</v>
      </c>
      <c r="H223" s="30" t="n">
        <v>46372</v>
      </c>
      <c r="I223" s="11"/>
      <c r="J223" s="35"/>
      <c r="K223" s="11" t="s">
        <v>484</v>
      </c>
    </row>
    <row r="224" customFormat="false" ht="15" hidden="false" customHeight="false" outlineLevel="0" collapsed="false">
      <c r="A224" s="11" t="s">
        <v>502</v>
      </c>
      <c r="B224" s="11" t="s">
        <v>265</v>
      </c>
      <c r="C224" s="11" t="s">
        <v>266</v>
      </c>
      <c r="D224" s="11" t="s">
        <v>212</v>
      </c>
      <c r="E224" s="11" t="s">
        <v>78</v>
      </c>
      <c r="F224" s="14" t="n">
        <v>6750</v>
      </c>
      <c r="G224" s="30" t="n">
        <v>46357</v>
      </c>
      <c r="H224" s="30" t="n">
        <v>46372</v>
      </c>
      <c r="I224" s="11"/>
      <c r="J224" s="35"/>
      <c r="K224" s="11" t="s">
        <v>484</v>
      </c>
    </row>
    <row r="225" customFormat="false" ht="15" hidden="false" customHeight="false" outlineLevel="0" collapsed="false">
      <c r="A225" s="11" t="s">
        <v>503</v>
      </c>
      <c r="B225" s="11" t="s">
        <v>267</v>
      </c>
      <c r="C225" s="11" t="s">
        <v>268</v>
      </c>
      <c r="D225" s="11" t="s">
        <v>212</v>
      </c>
      <c r="E225" s="11" t="s">
        <v>78</v>
      </c>
      <c r="F225" s="14" t="n">
        <v>3420</v>
      </c>
      <c r="G225" s="30" t="n">
        <v>46357</v>
      </c>
      <c r="H225" s="30" t="n">
        <v>46372</v>
      </c>
      <c r="I225" s="11"/>
      <c r="J225" s="35"/>
      <c r="K225" s="11" t="s">
        <v>484</v>
      </c>
    </row>
  </sheetData>
  <autoFilter ref="A1:K22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4"/>
    <col collapsed="false" customWidth="true" hidden="false" outlineLevel="0" max="3" min="3" style="0" width="34"/>
    <col collapsed="false" customWidth="true" hidden="false" outlineLevel="0" max="4" min="4" style="0" width="15"/>
    <col collapsed="false" customWidth="true" hidden="false" outlineLevel="0" max="5" min="5" style="0" width="26"/>
  </cols>
  <sheetData>
    <row r="1" customFormat="false" ht="15" hidden="false" customHeight="false" outlineLevel="0" collapsed="false">
      <c r="A1" s="4" t="s">
        <v>504</v>
      </c>
      <c r="B1" s="4" t="s">
        <v>505</v>
      </c>
      <c r="C1" s="4" t="s">
        <v>506</v>
      </c>
      <c r="D1" s="4" t="s">
        <v>507</v>
      </c>
      <c r="E1" s="4" t="s">
        <v>508</v>
      </c>
    </row>
    <row r="2" customFormat="false" ht="15" hidden="false" customHeight="false" outlineLevel="0" collapsed="false">
      <c r="A2" s="30" t="n">
        <v>45597</v>
      </c>
      <c r="B2" s="11" t="s">
        <v>210</v>
      </c>
      <c r="C2" s="11" t="s">
        <v>509</v>
      </c>
      <c r="D2" s="12" t="n">
        <v>2845729</v>
      </c>
      <c r="E2" s="11" t="s">
        <v>212</v>
      </c>
    </row>
    <row r="3" customFormat="false" ht="15" hidden="false" customHeight="false" outlineLevel="0" collapsed="false">
      <c r="A3" s="30" t="n">
        <v>45601</v>
      </c>
      <c r="B3" s="11" t="s">
        <v>214</v>
      </c>
      <c r="C3" s="11" t="s">
        <v>510</v>
      </c>
      <c r="D3" s="12" t="n">
        <v>320000</v>
      </c>
      <c r="E3" s="11" t="s">
        <v>212</v>
      </c>
    </row>
    <row r="4" customFormat="false" ht="15" hidden="false" customHeight="false" outlineLevel="0" collapsed="false">
      <c r="A4" s="30" t="n">
        <v>45616</v>
      </c>
      <c r="B4" s="11" t="s">
        <v>216</v>
      </c>
      <c r="C4" s="11" t="s">
        <v>511</v>
      </c>
      <c r="D4" s="12" t="n">
        <v>232056</v>
      </c>
      <c r="E4" s="11" t="s">
        <v>212</v>
      </c>
    </row>
    <row r="5" customFormat="false" ht="15" hidden="false" customHeight="false" outlineLevel="0" collapsed="false">
      <c r="A5" s="30" t="n">
        <v>45628</v>
      </c>
      <c r="B5" s="11" t="s">
        <v>210</v>
      </c>
      <c r="C5" s="11" t="s">
        <v>509</v>
      </c>
      <c r="D5" s="12" t="n">
        <v>2842527</v>
      </c>
      <c r="E5" s="11" t="s">
        <v>212</v>
      </c>
    </row>
    <row r="6" customFormat="false" ht="15" hidden="false" customHeight="false" outlineLevel="0" collapsed="false">
      <c r="A6" s="30" t="n">
        <v>45631</v>
      </c>
      <c r="B6" s="11" t="s">
        <v>214</v>
      </c>
      <c r="C6" s="11" t="s">
        <v>510</v>
      </c>
      <c r="D6" s="12" t="n">
        <v>320000</v>
      </c>
      <c r="E6" s="11" t="s">
        <v>212</v>
      </c>
    </row>
    <row r="7" customFormat="false" ht="15" hidden="false" customHeight="false" outlineLevel="0" collapsed="false">
      <c r="A7" s="30" t="n">
        <v>45642</v>
      </c>
      <c r="B7" s="11" t="s">
        <v>218</v>
      </c>
      <c r="C7" s="11" t="s">
        <v>512</v>
      </c>
      <c r="D7" s="12" t="n">
        <v>550000</v>
      </c>
      <c r="E7" s="11" t="s">
        <v>219</v>
      </c>
    </row>
    <row r="8" customFormat="false" ht="15" hidden="false" customHeight="false" outlineLevel="0" collapsed="false">
      <c r="A8" s="30" t="n">
        <v>45646</v>
      </c>
      <c r="B8" s="11" t="s">
        <v>216</v>
      </c>
      <c r="C8" s="11" t="s">
        <v>511</v>
      </c>
      <c r="D8" s="12" t="n">
        <v>135206</v>
      </c>
      <c r="E8" s="11" t="s">
        <v>212</v>
      </c>
    </row>
    <row r="9" customFormat="false" ht="15" hidden="false" customHeight="false" outlineLevel="0" collapsed="false">
      <c r="A9" s="30" t="n">
        <v>45658</v>
      </c>
      <c r="B9" s="11" t="s">
        <v>210</v>
      </c>
      <c r="C9" s="11" t="s">
        <v>509</v>
      </c>
      <c r="D9" s="12" t="n">
        <v>2875831</v>
      </c>
      <c r="E9" s="11" t="s">
        <v>212</v>
      </c>
    </row>
    <row r="10" customFormat="false" ht="15" hidden="false" customHeight="false" outlineLevel="0" collapsed="false">
      <c r="A10" s="30" t="n">
        <v>45663</v>
      </c>
      <c r="B10" s="11" t="s">
        <v>214</v>
      </c>
      <c r="C10" s="11" t="s">
        <v>510</v>
      </c>
      <c r="D10" s="12" t="n">
        <v>320000</v>
      </c>
      <c r="E10" s="11" t="s">
        <v>212</v>
      </c>
    </row>
    <row r="11" customFormat="false" ht="15" hidden="false" customHeight="false" outlineLevel="0" collapsed="false">
      <c r="A11" s="30" t="n">
        <v>45677</v>
      </c>
      <c r="B11" s="11" t="s">
        <v>216</v>
      </c>
      <c r="C11" s="11" t="s">
        <v>511</v>
      </c>
      <c r="D11" s="12" t="n">
        <v>184842</v>
      </c>
      <c r="E11" s="11" t="s">
        <v>212</v>
      </c>
    </row>
    <row r="12" customFormat="false" ht="15" hidden="false" customHeight="false" outlineLevel="0" collapsed="false">
      <c r="A12" s="30" t="n">
        <v>45691</v>
      </c>
      <c r="B12" s="11" t="s">
        <v>210</v>
      </c>
      <c r="C12" s="11" t="s">
        <v>509</v>
      </c>
      <c r="D12" s="12" t="n">
        <v>2866679</v>
      </c>
      <c r="E12" s="11" t="s">
        <v>212</v>
      </c>
    </row>
    <row r="13" customFormat="false" ht="15" hidden="false" customHeight="false" outlineLevel="0" collapsed="false">
      <c r="A13" s="30" t="n">
        <v>45693</v>
      </c>
      <c r="B13" s="11" t="s">
        <v>214</v>
      </c>
      <c r="C13" s="11" t="s">
        <v>510</v>
      </c>
      <c r="D13" s="12" t="n">
        <v>320000</v>
      </c>
      <c r="E13" s="11" t="s">
        <v>212</v>
      </c>
    </row>
    <row r="14" customFormat="false" ht="15" hidden="false" customHeight="false" outlineLevel="0" collapsed="false">
      <c r="A14" s="30" t="n">
        <v>45708</v>
      </c>
      <c r="B14" s="11" t="s">
        <v>216</v>
      </c>
      <c r="C14" s="11" t="s">
        <v>511</v>
      </c>
      <c r="D14" s="12" t="n">
        <v>161939</v>
      </c>
      <c r="E14" s="11" t="s">
        <v>212</v>
      </c>
    </row>
    <row r="15" customFormat="false" ht="15" hidden="false" customHeight="false" outlineLevel="0" collapsed="false">
      <c r="A15" s="30" t="n">
        <v>45719</v>
      </c>
      <c r="B15" s="11" t="s">
        <v>210</v>
      </c>
      <c r="C15" s="11" t="s">
        <v>509</v>
      </c>
      <c r="D15" s="12" t="n">
        <v>2836449</v>
      </c>
      <c r="E15" s="11" t="s">
        <v>212</v>
      </c>
    </row>
    <row r="16" customFormat="false" ht="15" hidden="false" customHeight="false" outlineLevel="0" collapsed="false">
      <c r="A16" s="30" t="n">
        <v>45721</v>
      </c>
      <c r="B16" s="11" t="s">
        <v>214</v>
      </c>
      <c r="C16" s="11" t="s">
        <v>510</v>
      </c>
      <c r="D16" s="12" t="n">
        <v>320000</v>
      </c>
      <c r="E16" s="11" t="s">
        <v>212</v>
      </c>
    </row>
    <row r="17" customFormat="false" ht="15" hidden="false" customHeight="false" outlineLevel="0" collapsed="false">
      <c r="A17" s="30" t="n">
        <v>45733</v>
      </c>
      <c r="B17" s="11" t="s">
        <v>218</v>
      </c>
      <c r="C17" s="11" t="s">
        <v>512</v>
      </c>
      <c r="D17" s="12" t="n">
        <v>550000</v>
      </c>
      <c r="E17" s="11" t="s">
        <v>219</v>
      </c>
    </row>
    <row r="18" customFormat="false" ht="15" hidden="false" customHeight="false" outlineLevel="0" collapsed="false">
      <c r="A18" s="30" t="n">
        <v>45734</v>
      </c>
      <c r="B18" s="11" t="s">
        <v>513</v>
      </c>
      <c r="C18" s="11" t="s">
        <v>514</v>
      </c>
      <c r="D18" s="12" t="n">
        <v>386000</v>
      </c>
      <c r="E18" s="11" t="s">
        <v>515</v>
      </c>
    </row>
    <row r="19" customFormat="false" ht="15" hidden="false" customHeight="false" outlineLevel="0" collapsed="false">
      <c r="A19" s="30" t="n">
        <v>45736</v>
      </c>
      <c r="B19" s="11" t="s">
        <v>216</v>
      </c>
      <c r="C19" s="11" t="s">
        <v>511</v>
      </c>
      <c r="D19" s="12" t="n">
        <v>168917</v>
      </c>
      <c r="E19" s="11" t="s">
        <v>212</v>
      </c>
    </row>
    <row r="20" customFormat="false" ht="15" hidden="false" customHeight="false" outlineLevel="0" collapsed="false">
      <c r="A20" s="30" t="n">
        <v>45748</v>
      </c>
      <c r="B20" s="11" t="s">
        <v>210</v>
      </c>
      <c r="C20" s="11" t="s">
        <v>509</v>
      </c>
      <c r="D20" s="12" t="n">
        <v>3196997</v>
      </c>
      <c r="E20" s="11" t="s">
        <v>212</v>
      </c>
    </row>
    <row r="21" customFormat="false" ht="15" hidden="false" customHeight="false" outlineLevel="0" collapsed="false">
      <c r="A21" s="30" t="n">
        <v>45754</v>
      </c>
      <c r="B21" s="11" t="s">
        <v>214</v>
      </c>
      <c r="C21" s="11" t="s">
        <v>510</v>
      </c>
      <c r="D21" s="12" t="n">
        <v>320000</v>
      </c>
      <c r="E21" s="11" t="s">
        <v>212</v>
      </c>
    </row>
    <row r="22" customFormat="false" ht="15" hidden="false" customHeight="false" outlineLevel="0" collapsed="false">
      <c r="A22" s="30" t="n">
        <v>45768</v>
      </c>
      <c r="B22" s="11" t="s">
        <v>216</v>
      </c>
      <c r="C22" s="11" t="s">
        <v>511</v>
      </c>
      <c r="D22" s="12" t="n">
        <v>221648</v>
      </c>
      <c r="E22" s="11" t="s">
        <v>212</v>
      </c>
    </row>
    <row r="23" customFormat="false" ht="15" hidden="false" customHeight="false" outlineLevel="0" collapsed="false">
      <c r="A23" s="30" t="n">
        <v>45778</v>
      </c>
      <c r="B23" s="11" t="s">
        <v>210</v>
      </c>
      <c r="C23" s="11" t="s">
        <v>509</v>
      </c>
      <c r="D23" s="12" t="n">
        <v>3160543</v>
      </c>
      <c r="E23" s="11" t="s">
        <v>212</v>
      </c>
    </row>
    <row r="24" customFormat="false" ht="15" hidden="false" customHeight="false" outlineLevel="0" collapsed="false">
      <c r="A24" s="30" t="n">
        <v>45782</v>
      </c>
      <c r="B24" s="11" t="s">
        <v>214</v>
      </c>
      <c r="C24" s="11" t="s">
        <v>510</v>
      </c>
      <c r="D24" s="12" t="n">
        <v>320000</v>
      </c>
      <c r="E24" s="11" t="s">
        <v>212</v>
      </c>
    </row>
    <row r="25" customFormat="false" ht="15" hidden="false" customHeight="false" outlineLevel="0" collapsed="false">
      <c r="A25" s="30" t="n">
        <v>45797</v>
      </c>
      <c r="B25" s="11" t="s">
        <v>216</v>
      </c>
      <c r="C25" s="11" t="s">
        <v>511</v>
      </c>
      <c r="D25" s="12" t="n">
        <v>224844</v>
      </c>
      <c r="E25" s="11" t="s">
        <v>212</v>
      </c>
    </row>
    <row r="26" customFormat="false" ht="15" hidden="false" customHeight="false" outlineLevel="0" collapsed="false">
      <c r="A26" s="30" t="n">
        <v>45810</v>
      </c>
      <c r="B26" s="11" t="s">
        <v>210</v>
      </c>
      <c r="C26" s="11" t="s">
        <v>509</v>
      </c>
      <c r="D26" s="12" t="n">
        <v>3194360</v>
      </c>
      <c r="E26" s="11" t="s">
        <v>212</v>
      </c>
    </row>
    <row r="27" customFormat="false" ht="15" hidden="false" customHeight="false" outlineLevel="0" collapsed="false">
      <c r="A27" s="30" t="n">
        <v>45813</v>
      </c>
      <c r="B27" s="11" t="s">
        <v>214</v>
      </c>
      <c r="C27" s="11" t="s">
        <v>510</v>
      </c>
      <c r="D27" s="12" t="n">
        <v>320000</v>
      </c>
      <c r="E27" s="11" t="s">
        <v>212</v>
      </c>
    </row>
    <row r="28" customFormat="false" ht="15" hidden="false" customHeight="false" outlineLevel="0" collapsed="false">
      <c r="A28" s="30" t="n">
        <v>45824</v>
      </c>
      <c r="B28" s="11" t="s">
        <v>218</v>
      </c>
      <c r="C28" s="11" t="s">
        <v>512</v>
      </c>
      <c r="D28" s="12" t="n">
        <v>240000</v>
      </c>
      <c r="E28" s="11" t="s">
        <v>219</v>
      </c>
    </row>
    <row r="29" customFormat="false" ht="15" hidden="false" customHeight="false" outlineLevel="0" collapsed="false">
      <c r="A29" s="30" t="n">
        <v>45828</v>
      </c>
      <c r="B29" s="11" t="s">
        <v>216</v>
      </c>
      <c r="C29" s="11" t="s">
        <v>511</v>
      </c>
      <c r="D29" s="12" t="n">
        <v>203525</v>
      </c>
      <c r="E29" s="11" t="s">
        <v>212</v>
      </c>
    </row>
    <row r="30" customFormat="false" ht="15" hidden="false" customHeight="false" outlineLevel="0" collapsed="false">
      <c r="A30" s="30" t="n">
        <v>45839</v>
      </c>
      <c r="B30" s="11" t="s">
        <v>210</v>
      </c>
      <c r="C30" s="11" t="s">
        <v>509</v>
      </c>
      <c r="D30" s="12" t="n">
        <v>3172351</v>
      </c>
      <c r="E30" s="11" t="s">
        <v>212</v>
      </c>
    </row>
    <row r="31" customFormat="false" ht="15" hidden="false" customHeight="false" outlineLevel="0" collapsed="false">
      <c r="A31" s="30" t="n">
        <v>45845</v>
      </c>
      <c r="B31" s="11" t="s">
        <v>214</v>
      </c>
      <c r="C31" s="11" t="s">
        <v>510</v>
      </c>
      <c r="D31" s="12" t="n">
        <v>320000</v>
      </c>
      <c r="E31" s="11" t="s">
        <v>212</v>
      </c>
    </row>
    <row r="32" customFormat="false" ht="15" hidden="false" customHeight="false" outlineLevel="0" collapsed="false">
      <c r="A32" s="30" t="n">
        <v>45859</v>
      </c>
      <c r="B32" s="11" t="s">
        <v>216</v>
      </c>
      <c r="C32" s="11" t="s">
        <v>511</v>
      </c>
      <c r="D32" s="12" t="n">
        <v>163810</v>
      </c>
      <c r="E32" s="11" t="s">
        <v>212</v>
      </c>
    </row>
    <row r="33" customFormat="false" ht="15" hidden="false" customHeight="false" outlineLevel="0" collapsed="false">
      <c r="A33" s="30" t="n">
        <v>45870</v>
      </c>
      <c r="B33" s="11" t="s">
        <v>210</v>
      </c>
      <c r="C33" s="11" t="s">
        <v>509</v>
      </c>
      <c r="D33" s="12" t="n">
        <v>3182235</v>
      </c>
      <c r="E33" s="11" t="s">
        <v>212</v>
      </c>
    </row>
    <row r="34" customFormat="false" ht="15" hidden="false" customHeight="false" outlineLevel="0" collapsed="false">
      <c r="A34" s="30" t="n">
        <v>45874</v>
      </c>
      <c r="B34" s="11" t="s">
        <v>214</v>
      </c>
      <c r="C34" s="11" t="s">
        <v>510</v>
      </c>
      <c r="D34" s="12" t="n">
        <v>320000</v>
      </c>
      <c r="E34" s="11" t="s">
        <v>212</v>
      </c>
    </row>
    <row r="35" customFormat="false" ht="15" hidden="false" customHeight="false" outlineLevel="0" collapsed="false">
      <c r="A35" s="30" t="n">
        <v>45881</v>
      </c>
      <c r="B35" s="11" t="s">
        <v>513</v>
      </c>
      <c r="C35" s="11" t="s">
        <v>516</v>
      </c>
      <c r="D35" s="12" t="n">
        <v>142000</v>
      </c>
      <c r="E35" s="11" t="s">
        <v>515</v>
      </c>
    </row>
    <row r="36" customFormat="false" ht="15" hidden="false" customHeight="false" outlineLevel="0" collapsed="false">
      <c r="A36" s="30" t="n">
        <v>45889</v>
      </c>
      <c r="B36" s="11" t="s">
        <v>216</v>
      </c>
      <c r="C36" s="11" t="s">
        <v>511</v>
      </c>
      <c r="D36" s="12" t="n">
        <v>145638</v>
      </c>
      <c r="E36" s="11" t="s">
        <v>212</v>
      </c>
    </row>
    <row r="37" customFormat="false" ht="15" hidden="false" customHeight="false" outlineLevel="0" collapsed="false">
      <c r="A37" s="30" t="n">
        <v>45901</v>
      </c>
      <c r="B37" s="11" t="s">
        <v>210</v>
      </c>
      <c r="C37" s="11" t="s">
        <v>509</v>
      </c>
      <c r="D37" s="12" t="n">
        <v>3178015</v>
      </c>
      <c r="E37" s="11" t="s">
        <v>212</v>
      </c>
    </row>
    <row r="38" customFormat="false" ht="15" hidden="false" customHeight="false" outlineLevel="0" collapsed="false">
      <c r="A38" s="30" t="n">
        <v>45905</v>
      </c>
      <c r="B38" s="11" t="s">
        <v>214</v>
      </c>
      <c r="C38" s="11" t="s">
        <v>510</v>
      </c>
      <c r="D38" s="12" t="n">
        <v>320000</v>
      </c>
      <c r="E38" s="11" t="s">
        <v>212</v>
      </c>
    </row>
    <row r="39" customFormat="false" ht="15" hidden="false" customHeight="false" outlineLevel="0" collapsed="false">
      <c r="A39" s="30" t="n">
        <v>45915</v>
      </c>
      <c r="B39" s="11" t="s">
        <v>218</v>
      </c>
      <c r="C39" s="11" t="s">
        <v>512</v>
      </c>
      <c r="D39" s="12" t="n">
        <v>480000</v>
      </c>
      <c r="E39" s="11" t="s">
        <v>219</v>
      </c>
    </row>
    <row r="40" customFormat="false" ht="15" hidden="false" customHeight="false" outlineLevel="0" collapsed="false">
      <c r="A40" s="30" t="n">
        <v>45922</v>
      </c>
      <c r="B40" s="11" t="s">
        <v>216</v>
      </c>
      <c r="C40" s="11" t="s">
        <v>511</v>
      </c>
      <c r="D40" s="12" t="n">
        <v>133209</v>
      </c>
      <c r="E40" s="11" t="s">
        <v>212</v>
      </c>
    </row>
    <row r="41" customFormat="false" ht="15" hidden="false" customHeight="false" outlineLevel="0" collapsed="false">
      <c r="A41" s="30" t="n">
        <v>45924</v>
      </c>
      <c r="B41" s="11" t="s">
        <v>517</v>
      </c>
      <c r="C41" s="11" t="s">
        <v>518</v>
      </c>
      <c r="D41" s="12" t="n">
        <v>260000</v>
      </c>
      <c r="E41" s="11" t="s">
        <v>249</v>
      </c>
    </row>
    <row r="42" customFormat="false" ht="15" hidden="false" customHeight="false" outlineLevel="0" collapsed="false">
      <c r="A42" s="30" t="n">
        <v>45931</v>
      </c>
      <c r="B42" s="11" t="s">
        <v>210</v>
      </c>
      <c r="C42" s="11" t="s">
        <v>509</v>
      </c>
      <c r="D42" s="12" t="n">
        <v>3202311</v>
      </c>
      <c r="E42" s="11" t="s">
        <v>212</v>
      </c>
    </row>
    <row r="43" customFormat="false" ht="15" hidden="false" customHeight="false" outlineLevel="0" collapsed="false">
      <c r="A43" s="30" t="n">
        <v>45936</v>
      </c>
      <c r="B43" s="11" t="s">
        <v>214</v>
      </c>
      <c r="C43" s="11" t="s">
        <v>510</v>
      </c>
      <c r="D43" s="12" t="n">
        <v>320000</v>
      </c>
      <c r="E43" s="11" t="s">
        <v>212</v>
      </c>
    </row>
    <row r="44" customFormat="false" ht="15" hidden="false" customHeight="false" outlineLevel="0" collapsed="false">
      <c r="A44" s="30" t="n">
        <v>45950</v>
      </c>
      <c r="B44" s="11" t="s">
        <v>216</v>
      </c>
      <c r="C44" s="11" t="s">
        <v>511</v>
      </c>
      <c r="D44" s="12" t="n">
        <v>195959</v>
      </c>
      <c r="E44" s="11" t="s">
        <v>212</v>
      </c>
    </row>
    <row r="45" customFormat="false" ht="15" hidden="false" customHeight="false" outlineLevel="0" collapsed="false">
      <c r="A45" s="30" t="n">
        <v>45964</v>
      </c>
      <c r="B45" s="11" t="s">
        <v>210</v>
      </c>
      <c r="C45" s="11" t="s">
        <v>509</v>
      </c>
      <c r="D45" s="12" t="n">
        <v>3180564</v>
      </c>
      <c r="E45" s="11" t="s">
        <v>212</v>
      </c>
    </row>
    <row r="46" customFormat="false" ht="15" hidden="false" customHeight="false" outlineLevel="0" collapsed="false">
      <c r="A46" s="30" t="n">
        <v>45966</v>
      </c>
      <c r="B46" s="11" t="s">
        <v>214</v>
      </c>
      <c r="C46" s="11" t="s">
        <v>510</v>
      </c>
      <c r="D46" s="12" t="n">
        <v>320000</v>
      </c>
      <c r="E46" s="11" t="s">
        <v>212</v>
      </c>
    </row>
    <row r="47" customFormat="false" ht="15" hidden="false" customHeight="false" outlineLevel="0" collapsed="false">
      <c r="A47" s="30" t="n">
        <v>45975</v>
      </c>
      <c r="B47" s="11" t="s">
        <v>519</v>
      </c>
      <c r="C47" s="11" t="s">
        <v>520</v>
      </c>
      <c r="D47" s="12" t="n">
        <v>420000</v>
      </c>
      <c r="E47" s="11" t="s">
        <v>521</v>
      </c>
    </row>
    <row r="48" customFormat="false" ht="15" hidden="false" customHeight="false" outlineLevel="0" collapsed="false">
      <c r="A48" s="30" t="n">
        <v>45981</v>
      </c>
      <c r="B48" s="11" t="s">
        <v>216</v>
      </c>
      <c r="C48" s="11" t="s">
        <v>511</v>
      </c>
      <c r="D48" s="12" t="n">
        <v>152102</v>
      </c>
      <c r="E48" s="11" t="s">
        <v>212</v>
      </c>
    </row>
    <row r="49" customFormat="false" ht="15" hidden="false" customHeight="false" outlineLevel="0" collapsed="false">
      <c r="A49" s="30" t="n">
        <v>45992</v>
      </c>
      <c r="B49" s="11" t="s">
        <v>210</v>
      </c>
      <c r="C49" s="11" t="s">
        <v>509</v>
      </c>
      <c r="D49" s="12" t="n">
        <v>3188476</v>
      </c>
      <c r="E49" s="11" t="s">
        <v>212</v>
      </c>
    </row>
    <row r="50" customFormat="false" ht="15" hidden="false" customHeight="false" outlineLevel="0" collapsed="false">
      <c r="A50" s="30" t="n">
        <v>45996</v>
      </c>
      <c r="B50" s="11" t="s">
        <v>214</v>
      </c>
      <c r="C50" s="11" t="s">
        <v>510</v>
      </c>
      <c r="D50" s="12" t="n">
        <v>320000</v>
      </c>
      <c r="E50" s="11" t="s">
        <v>212</v>
      </c>
    </row>
    <row r="51" customFormat="false" ht="15" hidden="false" customHeight="false" outlineLevel="0" collapsed="false">
      <c r="A51" s="30" t="n">
        <v>46006</v>
      </c>
      <c r="B51" s="11" t="s">
        <v>218</v>
      </c>
      <c r="C51" s="11" t="s">
        <v>512</v>
      </c>
      <c r="D51" s="12" t="n">
        <v>480000</v>
      </c>
      <c r="E51" s="11" t="s">
        <v>219</v>
      </c>
    </row>
    <row r="52" customFormat="false" ht="15" hidden="false" customHeight="false" outlineLevel="0" collapsed="false">
      <c r="A52" s="30" t="n">
        <v>46013</v>
      </c>
      <c r="B52" s="11" t="s">
        <v>216</v>
      </c>
      <c r="C52" s="11" t="s">
        <v>511</v>
      </c>
      <c r="D52" s="12" t="n">
        <v>151519</v>
      </c>
      <c r="E52" s="11" t="s">
        <v>212</v>
      </c>
    </row>
    <row r="53" customFormat="false" ht="15" hidden="false" customHeight="false" outlineLevel="0" collapsed="false">
      <c r="A53" s="30" t="n">
        <v>46023</v>
      </c>
      <c r="B53" s="11" t="s">
        <v>210</v>
      </c>
      <c r="C53" s="11" t="s">
        <v>509</v>
      </c>
      <c r="D53" s="12" t="n">
        <v>3175991</v>
      </c>
      <c r="E53" s="11" t="s">
        <v>212</v>
      </c>
    </row>
    <row r="54" customFormat="false" ht="15" hidden="false" customHeight="false" outlineLevel="0" collapsed="false">
      <c r="A54" s="30" t="n">
        <v>46027</v>
      </c>
      <c r="B54" s="11" t="s">
        <v>214</v>
      </c>
      <c r="C54" s="11" t="s">
        <v>510</v>
      </c>
      <c r="D54" s="12" t="n">
        <v>320000</v>
      </c>
      <c r="E54" s="11" t="s">
        <v>212</v>
      </c>
    </row>
    <row r="55" customFormat="false" ht="15" hidden="false" customHeight="false" outlineLevel="0" collapsed="false">
      <c r="A55" s="30" t="n">
        <v>46042</v>
      </c>
      <c r="B55" s="11" t="s">
        <v>216</v>
      </c>
      <c r="C55" s="11" t="s">
        <v>511</v>
      </c>
      <c r="D55" s="12" t="n">
        <v>162100</v>
      </c>
      <c r="E55" s="11" t="s">
        <v>212</v>
      </c>
    </row>
    <row r="56" customFormat="false" ht="15" hidden="false" customHeight="false" outlineLevel="0" collapsed="false">
      <c r="A56" s="30" t="n">
        <v>46047</v>
      </c>
      <c r="B56" s="11" t="s">
        <v>522</v>
      </c>
      <c r="C56" s="11" t="s">
        <v>523</v>
      </c>
      <c r="D56" s="12" t="n">
        <v>4900000</v>
      </c>
      <c r="E56" s="11" t="s">
        <v>524</v>
      </c>
    </row>
    <row r="57" customFormat="false" ht="15" hidden="false" customHeight="false" outlineLevel="0" collapsed="false">
      <c r="A57" s="30" t="n">
        <v>46055</v>
      </c>
      <c r="B57" s="11" t="s">
        <v>210</v>
      </c>
      <c r="C57" s="11" t="s">
        <v>509</v>
      </c>
      <c r="D57" s="12" t="n">
        <v>3177468</v>
      </c>
      <c r="E57" s="11" t="s">
        <v>212</v>
      </c>
    </row>
    <row r="58" customFormat="false" ht="15" hidden="false" customHeight="false" outlineLevel="0" collapsed="false">
      <c r="A58" s="30" t="n">
        <v>46058</v>
      </c>
      <c r="B58" s="11" t="s">
        <v>214</v>
      </c>
      <c r="C58" s="11" t="s">
        <v>510</v>
      </c>
      <c r="D58" s="12" t="n">
        <v>320000</v>
      </c>
      <c r="E58" s="11" t="s">
        <v>212</v>
      </c>
    </row>
    <row r="59" customFormat="false" ht="15" hidden="false" customHeight="false" outlineLevel="0" collapsed="false">
      <c r="A59" s="30" t="n">
        <v>46062</v>
      </c>
      <c r="B59" s="11" t="s">
        <v>525</v>
      </c>
      <c r="C59" s="11" t="s">
        <v>526</v>
      </c>
      <c r="D59" s="12" t="n">
        <v>65000</v>
      </c>
      <c r="E59" s="11" t="s">
        <v>515</v>
      </c>
    </row>
    <row r="60" customFormat="false" ht="15" hidden="false" customHeight="false" outlineLevel="0" collapsed="false">
      <c r="A60" s="30" t="n">
        <v>46073</v>
      </c>
      <c r="B60" s="11" t="s">
        <v>216</v>
      </c>
      <c r="C60" s="11" t="s">
        <v>511</v>
      </c>
      <c r="D60" s="12" t="n">
        <v>189547</v>
      </c>
      <c r="E60" s="11" t="s">
        <v>212</v>
      </c>
    </row>
    <row r="61" customFormat="false" ht="15" hidden="false" customHeight="false" outlineLevel="0" collapsed="false">
      <c r="A61" s="30" t="n">
        <v>46083</v>
      </c>
      <c r="B61" s="11" t="s">
        <v>210</v>
      </c>
      <c r="C61" s="11" t="s">
        <v>509</v>
      </c>
      <c r="D61" s="12" t="n">
        <v>3189603</v>
      </c>
      <c r="E61" s="11" t="s">
        <v>212</v>
      </c>
    </row>
    <row r="62" customFormat="false" ht="15" hidden="false" customHeight="false" outlineLevel="0" collapsed="false">
      <c r="A62" s="30" t="n">
        <v>46086</v>
      </c>
      <c r="B62" s="11" t="s">
        <v>214</v>
      </c>
      <c r="C62" s="11" t="s">
        <v>510</v>
      </c>
      <c r="D62" s="12" t="n">
        <v>320000</v>
      </c>
      <c r="E62" s="11" t="s">
        <v>212</v>
      </c>
    </row>
    <row r="63" customFormat="false" ht="15" hidden="false" customHeight="false" outlineLevel="0" collapsed="false">
      <c r="A63" s="30" t="n">
        <v>46097</v>
      </c>
      <c r="B63" s="11" t="s">
        <v>218</v>
      </c>
      <c r="C63" s="11" t="s">
        <v>512</v>
      </c>
      <c r="D63" s="12" t="n">
        <v>400000</v>
      </c>
      <c r="E63" s="11" t="s">
        <v>219</v>
      </c>
    </row>
    <row r="64" customFormat="false" ht="15" hidden="false" customHeight="false" outlineLevel="0" collapsed="false">
      <c r="A64" s="30" t="n">
        <v>46101</v>
      </c>
      <c r="B64" s="11" t="s">
        <v>216</v>
      </c>
      <c r="C64" s="11" t="s">
        <v>511</v>
      </c>
      <c r="D64" s="12" t="n">
        <v>216963</v>
      </c>
      <c r="E64" s="11" t="s">
        <v>212</v>
      </c>
    </row>
    <row r="65" customFormat="false" ht="15" hidden="false" customHeight="false" outlineLevel="0" collapsed="false">
      <c r="A65" s="30" t="n">
        <v>46113</v>
      </c>
      <c r="B65" s="11" t="s">
        <v>210</v>
      </c>
      <c r="C65" s="11" t="s">
        <v>509</v>
      </c>
      <c r="D65" s="12" t="n">
        <v>3533215</v>
      </c>
      <c r="E65" s="11" t="s">
        <v>212</v>
      </c>
    </row>
    <row r="66" customFormat="false" ht="15" hidden="false" customHeight="false" outlineLevel="0" collapsed="false">
      <c r="A66" s="30" t="n">
        <v>46118</v>
      </c>
      <c r="B66" s="11" t="s">
        <v>214</v>
      </c>
      <c r="C66" s="11" t="s">
        <v>510</v>
      </c>
      <c r="D66" s="12" t="n">
        <v>336000</v>
      </c>
      <c r="E66" s="11" t="s">
        <v>212</v>
      </c>
    </row>
    <row r="67" customFormat="false" ht="15" hidden="false" customHeight="false" outlineLevel="0" collapsed="false">
      <c r="A67" s="30" t="n">
        <v>46132</v>
      </c>
      <c r="B67" s="11" t="s">
        <v>216</v>
      </c>
      <c r="C67" s="11" t="s">
        <v>511</v>
      </c>
      <c r="D67" s="12" t="n">
        <v>229703</v>
      </c>
      <c r="E67" s="11" t="s">
        <v>212</v>
      </c>
    </row>
    <row r="68" customFormat="false" ht="15" hidden="false" customHeight="false" outlineLevel="0" collapsed="false">
      <c r="A68" s="30" t="n">
        <v>46143</v>
      </c>
      <c r="B68" s="11" t="s">
        <v>210</v>
      </c>
      <c r="C68" s="11" t="s">
        <v>509</v>
      </c>
      <c r="D68" s="12" t="n">
        <v>3548554</v>
      </c>
      <c r="E68" s="11" t="s">
        <v>212</v>
      </c>
    </row>
    <row r="69" customFormat="false" ht="15" hidden="false" customHeight="false" outlineLevel="0" collapsed="false">
      <c r="A69" s="30" t="n">
        <v>46147</v>
      </c>
      <c r="B69" s="11" t="s">
        <v>214</v>
      </c>
      <c r="C69" s="11" t="s">
        <v>510</v>
      </c>
      <c r="D69" s="12" t="n">
        <v>336000</v>
      </c>
      <c r="E69" s="11" t="s">
        <v>212</v>
      </c>
    </row>
    <row r="70" customFormat="false" ht="15" hidden="false" customHeight="false" outlineLevel="0" collapsed="false">
      <c r="A70" s="30" t="n">
        <v>46162</v>
      </c>
      <c r="B70" s="11" t="s">
        <v>216</v>
      </c>
      <c r="C70" s="11" t="s">
        <v>511</v>
      </c>
      <c r="D70" s="12" t="n">
        <v>151635</v>
      </c>
      <c r="E70" s="11" t="s">
        <v>212</v>
      </c>
    </row>
    <row r="71" customFormat="false" ht="15" hidden="false" customHeight="false" outlineLevel="0" collapsed="false">
      <c r="A71" s="30" t="n">
        <v>46174</v>
      </c>
      <c r="B71" s="11" t="s">
        <v>210</v>
      </c>
      <c r="C71" s="11" t="s">
        <v>509</v>
      </c>
      <c r="D71" s="12" t="n">
        <v>3542177</v>
      </c>
      <c r="E71" s="11" t="s">
        <v>212</v>
      </c>
    </row>
    <row r="72" customFormat="false" ht="15" hidden="false" customHeight="false" outlineLevel="0" collapsed="false">
      <c r="A72" s="30" t="n">
        <v>46178</v>
      </c>
      <c r="B72" s="11" t="s">
        <v>214</v>
      </c>
      <c r="C72" s="11" t="s">
        <v>510</v>
      </c>
      <c r="D72" s="12" t="n">
        <v>336000</v>
      </c>
      <c r="E72" s="11" t="s">
        <v>212</v>
      </c>
    </row>
    <row r="73" customFormat="false" ht="15" hidden="false" customHeight="false" outlineLevel="0" collapsed="false">
      <c r="A73" s="30" t="n">
        <v>46188</v>
      </c>
      <c r="B73" s="11" t="s">
        <v>218</v>
      </c>
      <c r="C73" s="11" t="s">
        <v>512</v>
      </c>
      <c r="D73" s="12" t="n">
        <v>300000</v>
      </c>
      <c r="E73" s="11" t="s">
        <v>219</v>
      </c>
    </row>
    <row r="74" customFormat="false" ht="15" hidden="false" customHeight="false" outlineLevel="0" collapsed="false">
      <c r="A74" s="30" t="n">
        <v>46195</v>
      </c>
      <c r="B74" s="11" t="s">
        <v>216</v>
      </c>
      <c r="C74" s="11" t="s">
        <v>511</v>
      </c>
      <c r="D74" s="12" t="n">
        <v>215943</v>
      </c>
      <c r="E74" s="11" t="s">
        <v>212</v>
      </c>
    </row>
    <row r="75" customFormat="false" ht="15" hidden="false" customHeight="false" outlineLevel="0" collapsed="false">
      <c r="A75" s="30" t="n">
        <v>46204</v>
      </c>
      <c r="B75" s="11" t="s">
        <v>210</v>
      </c>
      <c r="C75" s="11" t="s">
        <v>509</v>
      </c>
      <c r="D75" s="12" t="n">
        <v>3537760</v>
      </c>
      <c r="E75" s="11" t="s">
        <v>212</v>
      </c>
    </row>
    <row r="76" customFormat="false" ht="15" hidden="false" customHeight="false" outlineLevel="0" collapsed="false">
      <c r="A76" s="30" t="n">
        <v>46209</v>
      </c>
      <c r="B76" s="11" t="s">
        <v>214</v>
      </c>
      <c r="C76" s="11" t="s">
        <v>510</v>
      </c>
      <c r="D76" s="12" t="n">
        <v>336000</v>
      </c>
      <c r="E76" s="11" t="s">
        <v>212</v>
      </c>
    </row>
    <row r="77" customFormat="false" ht="15" hidden="false" customHeight="false" outlineLevel="0" collapsed="false">
      <c r="A77" s="30" t="n">
        <v>46223</v>
      </c>
      <c r="B77" s="11" t="s">
        <v>216</v>
      </c>
      <c r="C77" s="11" t="s">
        <v>511</v>
      </c>
      <c r="D77" s="12" t="n">
        <v>226031</v>
      </c>
      <c r="E77" s="11" t="s">
        <v>212</v>
      </c>
    </row>
    <row r="78" customFormat="false" ht="15" hidden="false" customHeight="false" outlineLevel="0" collapsed="false">
      <c r="A78" s="30" t="n">
        <v>46228</v>
      </c>
      <c r="B78" s="11" t="s">
        <v>522</v>
      </c>
      <c r="C78" s="11" t="s">
        <v>523</v>
      </c>
      <c r="D78" s="12" t="n">
        <v>3000000</v>
      </c>
      <c r="E78" s="11" t="s">
        <v>524</v>
      </c>
    </row>
    <row r="79" customFormat="false" ht="15" hidden="false" customHeight="false" outlineLevel="0" collapsed="false">
      <c r="A79" s="30" t="n">
        <v>46237</v>
      </c>
      <c r="B79" s="11" t="s">
        <v>210</v>
      </c>
      <c r="C79" s="11" t="s">
        <v>509</v>
      </c>
      <c r="D79" s="12" t="n">
        <v>3729278</v>
      </c>
      <c r="E79" s="11" t="s">
        <v>212</v>
      </c>
    </row>
    <row r="80" customFormat="false" ht="15" hidden="false" customHeight="false" outlineLevel="0" collapsed="false">
      <c r="A80" s="30" t="n">
        <v>46239</v>
      </c>
      <c r="B80" s="11" t="s">
        <v>214</v>
      </c>
      <c r="C80" s="11" t="s">
        <v>510</v>
      </c>
      <c r="D80" s="12" t="n">
        <v>336000</v>
      </c>
      <c r="E80" s="11" t="s">
        <v>212</v>
      </c>
    </row>
    <row r="81" customFormat="false" ht="15" hidden="false" customHeight="false" outlineLevel="0" collapsed="false">
      <c r="A81" s="30" t="n">
        <v>46254</v>
      </c>
      <c r="B81" s="11" t="s">
        <v>216</v>
      </c>
      <c r="C81" s="11" t="s">
        <v>511</v>
      </c>
      <c r="D81" s="12" t="n">
        <v>184638</v>
      </c>
      <c r="E81" s="11" t="s">
        <v>212</v>
      </c>
    </row>
    <row r="82" customFormat="false" ht="15" hidden="false" customHeight="false" outlineLevel="0" collapsed="false">
      <c r="A82" s="30" t="n">
        <v>46266</v>
      </c>
      <c r="B82" s="11" t="s">
        <v>210</v>
      </c>
      <c r="C82" s="11" t="s">
        <v>509</v>
      </c>
      <c r="D82" s="12" t="n">
        <v>3723140</v>
      </c>
      <c r="E82" s="11" t="s">
        <v>212</v>
      </c>
    </row>
    <row r="83" customFormat="false" ht="15" hidden="false" customHeight="false" outlineLevel="0" collapsed="false">
      <c r="A83" s="30" t="n">
        <v>46272</v>
      </c>
      <c r="B83" s="11" t="s">
        <v>214</v>
      </c>
      <c r="C83" s="11" t="s">
        <v>510</v>
      </c>
      <c r="D83" s="12" t="n">
        <v>336000</v>
      </c>
      <c r="E83" s="11" t="s">
        <v>212</v>
      </c>
    </row>
    <row r="84" customFormat="false" ht="15" hidden="false" customHeight="false" outlineLevel="0" collapsed="false">
      <c r="A84" s="30" t="n">
        <v>46280</v>
      </c>
      <c r="B84" s="11" t="s">
        <v>218</v>
      </c>
      <c r="C84" s="11" t="s">
        <v>512</v>
      </c>
      <c r="D84" s="12" t="n">
        <v>600000</v>
      </c>
      <c r="E84" s="11" t="s">
        <v>219</v>
      </c>
    </row>
    <row r="85" customFormat="false" ht="15" hidden="false" customHeight="false" outlineLevel="0" collapsed="false">
      <c r="A85" s="30" t="n">
        <v>46286</v>
      </c>
      <c r="B85" s="11" t="s">
        <v>216</v>
      </c>
      <c r="C85" s="11" t="s">
        <v>511</v>
      </c>
      <c r="D85" s="12" t="n">
        <v>129148</v>
      </c>
      <c r="E85" s="11" t="s">
        <v>212</v>
      </c>
    </row>
    <row r="86" customFormat="false" ht="15" hidden="false" customHeight="false" outlineLevel="0" collapsed="false">
      <c r="A86" s="30" t="n">
        <v>46289</v>
      </c>
      <c r="B86" s="11" t="s">
        <v>517</v>
      </c>
      <c r="C86" s="11" t="s">
        <v>518</v>
      </c>
      <c r="D86" s="12" t="n">
        <v>280000</v>
      </c>
      <c r="E86" s="11" t="s">
        <v>249</v>
      </c>
    </row>
    <row r="87" customFormat="false" ht="15" hidden="false" customHeight="false" outlineLevel="0" collapsed="false">
      <c r="A87" s="30" t="n">
        <v>46296</v>
      </c>
      <c r="B87" s="11" t="s">
        <v>210</v>
      </c>
      <c r="C87" s="11" t="s">
        <v>509</v>
      </c>
      <c r="D87" s="12" t="n">
        <v>3709600</v>
      </c>
      <c r="E87" s="11" t="s">
        <v>212</v>
      </c>
    </row>
    <row r="88" customFormat="false" ht="15" hidden="false" customHeight="false" outlineLevel="0" collapsed="false">
      <c r="A88" s="30" t="n">
        <v>46300</v>
      </c>
      <c r="B88" s="11" t="s">
        <v>214</v>
      </c>
      <c r="C88" s="11" t="s">
        <v>510</v>
      </c>
      <c r="D88" s="12" t="n">
        <v>336000</v>
      </c>
      <c r="E88" s="11" t="s">
        <v>212</v>
      </c>
    </row>
    <row r="89" customFormat="false" ht="15" hidden="false" customHeight="false" outlineLevel="0" collapsed="false">
      <c r="A89" s="30" t="n">
        <v>46315</v>
      </c>
      <c r="B89" s="11" t="s">
        <v>216</v>
      </c>
      <c r="C89" s="11" t="s">
        <v>511</v>
      </c>
      <c r="D89" s="12" t="n">
        <v>123477</v>
      </c>
      <c r="E89" s="11" t="s">
        <v>212</v>
      </c>
    </row>
  </sheetData>
  <autoFilter ref="A1:E8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6"/>
    <col collapsed="false" customWidth="true" hidden="false" outlineLevel="0" max="3" min="3" style="0" width="30"/>
    <col collapsed="false" customWidth="true" hidden="false" outlineLevel="0" max="4" min="4" style="0" width="13"/>
    <col collapsed="false" customWidth="true" hidden="false" outlineLevel="0" max="5" min="5" style="0" width="15"/>
    <col collapsed="false" customWidth="true" hidden="false" outlineLevel="0" max="6" min="6" style="0" width="11"/>
    <col collapsed="false" customWidth="true" hidden="false" outlineLevel="0" max="7" min="7" style="0" width="17"/>
    <col collapsed="false" customWidth="true" hidden="false" outlineLevel="0" max="8" min="8" style="0" width="10"/>
    <col collapsed="false" customWidth="true" hidden="false" outlineLevel="0" max="9" min="9" style="0" width="14"/>
    <col collapsed="false" customWidth="true" hidden="false" outlineLevel="0" max="10" min="10" style="0" width="16"/>
  </cols>
  <sheetData>
    <row r="1" customFormat="false" ht="23.85" hidden="false" customHeight="false" outlineLevel="0" collapsed="false">
      <c r="A1" s="4" t="s">
        <v>504</v>
      </c>
      <c r="B1" s="4" t="s">
        <v>505</v>
      </c>
      <c r="C1" s="4" t="s">
        <v>506</v>
      </c>
      <c r="D1" s="4" t="s">
        <v>272</v>
      </c>
      <c r="E1" s="4" t="s">
        <v>527</v>
      </c>
      <c r="F1" s="4" t="s">
        <v>508</v>
      </c>
      <c r="G1" s="4" t="s">
        <v>528</v>
      </c>
      <c r="H1" s="4" t="s">
        <v>529</v>
      </c>
      <c r="I1" s="4" t="s">
        <v>530</v>
      </c>
      <c r="J1" s="4" t="s">
        <v>192</v>
      </c>
    </row>
    <row r="2" customFormat="false" ht="15" hidden="false" customHeight="false" outlineLevel="0" collapsed="false">
      <c r="A2" s="30" t="n">
        <v>45600</v>
      </c>
      <c r="B2" s="11" t="s">
        <v>531</v>
      </c>
      <c r="C2" s="11" t="s">
        <v>224</v>
      </c>
      <c r="D2" s="14" t="n">
        <v>3886</v>
      </c>
      <c r="E2" s="11" t="s">
        <v>532</v>
      </c>
      <c r="F2" s="11" t="s">
        <v>212</v>
      </c>
      <c r="G2" s="11" t="s">
        <v>533</v>
      </c>
      <c r="H2" s="36" t="n">
        <v>84.2228</v>
      </c>
      <c r="I2" s="12" t="n">
        <v>337108.49</v>
      </c>
      <c r="J2" s="12" t="n">
        <v>9818.69</v>
      </c>
    </row>
    <row r="3" customFormat="false" ht="15" hidden="false" customHeight="false" outlineLevel="0" collapsed="false">
      <c r="A3" s="30" t="n">
        <v>45603</v>
      </c>
      <c r="B3" s="11" t="s">
        <v>534</v>
      </c>
      <c r="C3" s="11" t="s">
        <v>226</v>
      </c>
      <c r="D3" s="14" t="n">
        <v>1150</v>
      </c>
      <c r="E3" s="11" t="s">
        <v>532</v>
      </c>
      <c r="F3" s="11" t="s">
        <v>212</v>
      </c>
      <c r="G3" s="11" t="s">
        <v>533</v>
      </c>
      <c r="H3" s="36" t="n">
        <v>84.61</v>
      </c>
      <c r="I3" s="12" t="n">
        <v>100220.54</v>
      </c>
      <c r="J3" s="12" t="n">
        <v>2919.05</v>
      </c>
    </row>
    <row r="4" customFormat="false" ht="15" hidden="false" customHeight="false" outlineLevel="0" collapsed="false">
      <c r="A4" s="30" t="n">
        <v>45629</v>
      </c>
      <c r="B4" s="11" t="s">
        <v>531</v>
      </c>
      <c r="C4" s="11" t="s">
        <v>224</v>
      </c>
      <c r="D4" s="14" t="n">
        <v>4008.9</v>
      </c>
      <c r="E4" s="11" t="s">
        <v>532</v>
      </c>
      <c r="F4" s="11" t="s">
        <v>212</v>
      </c>
      <c r="G4" s="11" t="s">
        <v>533</v>
      </c>
      <c r="H4" s="36" t="n">
        <v>83.4963</v>
      </c>
      <c r="I4" s="12" t="n">
        <v>344770.17</v>
      </c>
      <c r="J4" s="12" t="n">
        <v>10041.85</v>
      </c>
    </row>
    <row r="5" customFormat="false" ht="15" hidden="false" customHeight="false" outlineLevel="0" collapsed="false">
      <c r="A5" s="30" t="n">
        <v>45635</v>
      </c>
      <c r="B5" s="11" t="s">
        <v>534</v>
      </c>
      <c r="C5" s="11" t="s">
        <v>226</v>
      </c>
      <c r="D5" s="14" t="n">
        <v>1150</v>
      </c>
      <c r="E5" s="11" t="s">
        <v>532</v>
      </c>
      <c r="F5" s="11" t="s">
        <v>212</v>
      </c>
      <c r="G5" s="11" t="s">
        <v>533</v>
      </c>
      <c r="H5" s="36" t="n">
        <v>83.5262</v>
      </c>
      <c r="I5" s="12" t="n">
        <v>98936.78</v>
      </c>
      <c r="J5" s="12" t="n">
        <v>2881.65</v>
      </c>
    </row>
    <row r="6" customFormat="false" ht="15" hidden="false" customHeight="false" outlineLevel="0" collapsed="false">
      <c r="A6" s="30" t="n">
        <v>45660</v>
      </c>
      <c r="B6" s="11" t="s">
        <v>531</v>
      </c>
      <c r="C6" s="11" t="s">
        <v>224</v>
      </c>
      <c r="D6" s="14" t="n">
        <v>4061</v>
      </c>
      <c r="E6" s="11" t="s">
        <v>532</v>
      </c>
      <c r="F6" s="11" t="s">
        <v>212</v>
      </c>
      <c r="G6" s="11" t="s">
        <v>533</v>
      </c>
      <c r="H6" s="36" t="n">
        <v>83.668</v>
      </c>
      <c r="I6" s="12" t="n">
        <v>349969.02</v>
      </c>
      <c r="J6" s="12" t="n">
        <v>10193.27</v>
      </c>
    </row>
    <row r="7" customFormat="false" ht="15" hidden="false" customHeight="false" outlineLevel="0" collapsed="false">
      <c r="A7" s="30" t="n">
        <v>45664</v>
      </c>
      <c r="B7" s="11" t="s">
        <v>534</v>
      </c>
      <c r="C7" s="11" t="s">
        <v>226</v>
      </c>
      <c r="D7" s="14" t="n">
        <v>1150</v>
      </c>
      <c r="E7" s="11" t="s">
        <v>532</v>
      </c>
      <c r="F7" s="11" t="s">
        <v>212</v>
      </c>
      <c r="G7" s="11" t="s">
        <v>533</v>
      </c>
      <c r="H7" s="36" t="n">
        <v>83.6058</v>
      </c>
      <c r="I7" s="12" t="n">
        <v>99031.07</v>
      </c>
      <c r="J7" s="12" t="n">
        <v>2884.4</v>
      </c>
    </row>
    <row r="8" customFormat="false" ht="15" hidden="false" customHeight="false" outlineLevel="0" collapsed="false">
      <c r="A8" s="30" t="n">
        <v>45667</v>
      </c>
      <c r="B8" s="11" t="s">
        <v>535</v>
      </c>
      <c r="C8" s="11" t="s">
        <v>228</v>
      </c>
      <c r="D8" s="14" t="n">
        <v>9000</v>
      </c>
      <c r="E8" s="11" t="s">
        <v>536</v>
      </c>
      <c r="F8" s="11" t="s">
        <v>219</v>
      </c>
      <c r="G8" s="11" t="s">
        <v>533</v>
      </c>
      <c r="H8" s="36" t="n">
        <v>83.515</v>
      </c>
      <c r="I8" s="12" t="n">
        <v>759599.71</v>
      </c>
      <c r="J8" s="12" t="n">
        <v>7964.71</v>
      </c>
    </row>
    <row r="9" customFormat="false" ht="15" hidden="false" customHeight="false" outlineLevel="0" collapsed="false">
      <c r="A9" s="30" t="n">
        <v>45691</v>
      </c>
      <c r="B9" s="11" t="s">
        <v>531</v>
      </c>
      <c r="C9" s="11" t="s">
        <v>224</v>
      </c>
      <c r="D9" s="14" t="n">
        <v>3829.35</v>
      </c>
      <c r="E9" s="11" t="s">
        <v>532</v>
      </c>
      <c r="F9" s="11" t="s">
        <v>212</v>
      </c>
      <c r="G9" s="11" t="s">
        <v>533</v>
      </c>
      <c r="H9" s="36" t="n">
        <v>84.2082</v>
      </c>
      <c r="I9" s="12" t="n">
        <v>332136.55</v>
      </c>
      <c r="J9" s="12" t="n">
        <v>9673.88</v>
      </c>
    </row>
    <row r="10" customFormat="false" ht="15" hidden="false" customHeight="false" outlineLevel="0" collapsed="false">
      <c r="A10" s="30" t="n">
        <v>45695</v>
      </c>
      <c r="B10" s="11" t="s">
        <v>534</v>
      </c>
      <c r="C10" s="11" t="s">
        <v>226</v>
      </c>
      <c r="D10" s="14" t="n">
        <v>1150</v>
      </c>
      <c r="E10" s="11" t="s">
        <v>532</v>
      </c>
      <c r="F10" s="11" t="s">
        <v>212</v>
      </c>
      <c r="G10" s="11" t="s">
        <v>533</v>
      </c>
      <c r="H10" s="36" t="n">
        <v>84.4935</v>
      </c>
      <c r="I10" s="12" t="n">
        <v>100082.55</v>
      </c>
      <c r="J10" s="12" t="n">
        <v>2915.03</v>
      </c>
    </row>
    <row r="11" customFormat="false" ht="15" hidden="false" customHeight="false" outlineLevel="0" collapsed="false">
      <c r="A11" s="30" t="n">
        <v>45719</v>
      </c>
      <c r="B11" s="11" t="s">
        <v>531</v>
      </c>
      <c r="C11" s="11" t="s">
        <v>224</v>
      </c>
      <c r="D11" s="14" t="n">
        <v>4492.81</v>
      </c>
      <c r="E11" s="11" t="s">
        <v>532</v>
      </c>
      <c r="F11" s="11" t="s">
        <v>212</v>
      </c>
      <c r="G11" s="11" t="s">
        <v>533</v>
      </c>
      <c r="H11" s="36" t="n">
        <v>84.7501</v>
      </c>
      <c r="I11" s="12" t="n">
        <v>392189.08</v>
      </c>
      <c r="J11" s="12" t="n">
        <v>11422.98</v>
      </c>
    </row>
    <row r="12" customFormat="false" ht="15" hidden="false" customHeight="false" outlineLevel="0" collapsed="false">
      <c r="A12" s="30" t="n">
        <v>45723</v>
      </c>
      <c r="B12" s="11" t="s">
        <v>534</v>
      </c>
      <c r="C12" s="11" t="s">
        <v>226</v>
      </c>
      <c r="D12" s="14" t="n">
        <v>1150</v>
      </c>
      <c r="E12" s="11" t="s">
        <v>532</v>
      </c>
      <c r="F12" s="11" t="s">
        <v>212</v>
      </c>
      <c r="G12" s="11" t="s">
        <v>533</v>
      </c>
      <c r="H12" s="36" t="n">
        <v>84.7501</v>
      </c>
      <c r="I12" s="12" t="n">
        <v>100386.49</v>
      </c>
      <c r="J12" s="12" t="n">
        <v>2923.88</v>
      </c>
    </row>
    <row r="13" customFormat="false" ht="15" hidden="false" customHeight="false" outlineLevel="0" collapsed="false">
      <c r="A13" s="30" t="n">
        <v>45750</v>
      </c>
      <c r="B13" s="11" t="s">
        <v>531</v>
      </c>
      <c r="C13" s="11" t="s">
        <v>224</v>
      </c>
      <c r="D13" s="14" t="n">
        <v>4168.76</v>
      </c>
      <c r="E13" s="11" t="s">
        <v>532</v>
      </c>
      <c r="F13" s="11" t="s">
        <v>212</v>
      </c>
      <c r="G13" s="11" t="s">
        <v>533</v>
      </c>
      <c r="H13" s="36" t="n">
        <v>85.3718</v>
      </c>
      <c r="I13" s="12" t="n">
        <v>366571.38</v>
      </c>
      <c r="J13" s="12" t="n">
        <v>10676.84</v>
      </c>
    </row>
    <row r="14" customFormat="false" ht="15" hidden="false" customHeight="false" outlineLevel="0" collapsed="false">
      <c r="A14" s="30" t="n">
        <v>45754</v>
      </c>
      <c r="B14" s="11" t="s">
        <v>534</v>
      </c>
      <c r="C14" s="11" t="s">
        <v>226</v>
      </c>
      <c r="D14" s="14" t="n">
        <v>1150</v>
      </c>
      <c r="E14" s="11" t="s">
        <v>532</v>
      </c>
      <c r="F14" s="11" t="s">
        <v>212</v>
      </c>
      <c r="G14" s="11" t="s">
        <v>533</v>
      </c>
      <c r="H14" s="36" t="n">
        <v>85.113</v>
      </c>
      <c r="I14" s="12" t="n">
        <v>100816.35</v>
      </c>
      <c r="J14" s="12" t="n">
        <v>2936.4</v>
      </c>
    </row>
    <row r="15" customFormat="false" ht="15" hidden="false" customHeight="false" outlineLevel="0" collapsed="false">
      <c r="A15" s="30" t="n">
        <v>45757</v>
      </c>
      <c r="B15" s="11" t="s">
        <v>535</v>
      </c>
      <c r="C15" s="11" t="s">
        <v>228</v>
      </c>
      <c r="D15" s="14" t="n">
        <v>9000</v>
      </c>
      <c r="E15" s="11" t="s">
        <v>536</v>
      </c>
      <c r="F15" s="11" t="s">
        <v>219</v>
      </c>
      <c r="G15" s="11" t="s">
        <v>533</v>
      </c>
      <c r="H15" s="36" t="n">
        <v>85.0288</v>
      </c>
      <c r="I15" s="12" t="n">
        <v>773346.53</v>
      </c>
      <c r="J15" s="12" t="n">
        <v>8087.33</v>
      </c>
    </row>
    <row r="16" customFormat="false" ht="15" hidden="false" customHeight="false" outlineLevel="0" collapsed="false">
      <c r="A16" s="30" t="n">
        <v>45782</v>
      </c>
      <c r="B16" s="11" t="s">
        <v>531</v>
      </c>
      <c r="C16" s="11" t="s">
        <v>224</v>
      </c>
      <c r="D16" s="14" t="n">
        <v>4416.46</v>
      </c>
      <c r="E16" s="11" t="s">
        <v>532</v>
      </c>
      <c r="F16" s="11" t="s">
        <v>212</v>
      </c>
      <c r="G16" s="11" t="s">
        <v>533</v>
      </c>
      <c r="H16" s="36" t="n">
        <v>85.5223</v>
      </c>
      <c r="I16" s="12" t="n">
        <v>389036.99</v>
      </c>
      <c r="J16" s="12" t="n">
        <v>11331.17</v>
      </c>
    </row>
    <row r="17" customFormat="false" ht="15" hidden="false" customHeight="false" outlineLevel="0" collapsed="false">
      <c r="A17" s="30" t="n">
        <v>45784</v>
      </c>
      <c r="B17" s="11" t="s">
        <v>534</v>
      </c>
      <c r="C17" s="11" t="s">
        <v>226</v>
      </c>
      <c r="D17" s="14" t="n">
        <v>1150</v>
      </c>
      <c r="E17" s="11" t="s">
        <v>532</v>
      </c>
      <c r="F17" s="11" t="s">
        <v>212</v>
      </c>
      <c r="G17" s="11" t="s">
        <v>533</v>
      </c>
      <c r="H17" s="36" t="n">
        <v>85.2699</v>
      </c>
      <c r="I17" s="12" t="n">
        <v>101002.2</v>
      </c>
      <c r="J17" s="12" t="n">
        <v>2941.81</v>
      </c>
    </row>
    <row r="18" customFormat="false" ht="15" hidden="false" customHeight="false" outlineLevel="0" collapsed="false">
      <c r="A18" s="30" t="n">
        <v>45811</v>
      </c>
      <c r="B18" s="11" t="s">
        <v>531</v>
      </c>
      <c r="C18" s="11" t="s">
        <v>224</v>
      </c>
      <c r="D18" s="14" t="n">
        <v>4497.66</v>
      </c>
      <c r="E18" s="11" t="s">
        <v>532</v>
      </c>
      <c r="F18" s="11" t="s">
        <v>212</v>
      </c>
      <c r="G18" s="11" t="s">
        <v>533</v>
      </c>
      <c r="H18" s="36" t="n">
        <v>85.7526</v>
      </c>
      <c r="I18" s="12" t="n">
        <v>397256.62</v>
      </c>
      <c r="J18" s="12" t="n">
        <v>11570.58</v>
      </c>
    </row>
    <row r="19" customFormat="false" ht="15" hidden="false" customHeight="false" outlineLevel="0" collapsed="false">
      <c r="A19" s="30" t="n">
        <v>45817</v>
      </c>
      <c r="B19" s="11" t="s">
        <v>534</v>
      </c>
      <c r="C19" s="11" t="s">
        <v>226</v>
      </c>
      <c r="D19" s="14" t="n">
        <v>1150</v>
      </c>
      <c r="E19" s="11" t="s">
        <v>532</v>
      </c>
      <c r="F19" s="11" t="s">
        <v>212</v>
      </c>
      <c r="G19" s="11" t="s">
        <v>533</v>
      </c>
      <c r="H19" s="36" t="n">
        <v>86.0785</v>
      </c>
      <c r="I19" s="12" t="n">
        <v>101959.98</v>
      </c>
      <c r="J19" s="12" t="n">
        <v>2969.71</v>
      </c>
    </row>
    <row r="20" customFormat="false" ht="15" hidden="false" customHeight="false" outlineLevel="0" collapsed="false">
      <c r="A20" s="30" t="n">
        <v>45841</v>
      </c>
      <c r="B20" s="11" t="s">
        <v>531</v>
      </c>
      <c r="C20" s="11" t="s">
        <v>224</v>
      </c>
      <c r="D20" s="14" t="n">
        <v>4616.49</v>
      </c>
      <c r="E20" s="11" t="s">
        <v>532</v>
      </c>
      <c r="F20" s="11" t="s">
        <v>212</v>
      </c>
      <c r="G20" s="11" t="s">
        <v>533</v>
      </c>
      <c r="H20" s="36" t="n">
        <v>85.7756</v>
      </c>
      <c r="I20" s="12" t="n">
        <v>407861.67</v>
      </c>
      <c r="J20" s="12" t="n">
        <v>11879.47</v>
      </c>
    </row>
    <row r="21" customFormat="false" ht="15" hidden="false" customHeight="false" outlineLevel="0" collapsed="false">
      <c r="A21" s="30" t="n">
        <v>45845</v>
      </c>
      <c r="B21" s="11" t="s">
        <v>534</v>
      </c>
      <c r="C21" s="11" t="s">
        <v>226</v>
      </c>
      <c r="D21" s="14" t="n">
        <v>1150</v>
      </c>
      <c r="E21" s="11" t="s">
        <v>532</v>
      </c>
      <c r="F21" s="11" t="s">
        <v>212</v>
      </c>
      <c r="G21" s="11" t="s">
        <v>533</v>
      </c>
      <c r="H21" s="36" t="n">
        <v>85.8021</v>
      </c>
      <c r="I21" s="12" t="n">
        <v>101632.59</v>
      </c>
      <c r="J21" s="12" t="n">
        <v>2960.17</v>
      </c>
    </row>
    <row r="22" customFormat="false" ht="15" hidden="false" customHeight="false" outlineLevel="0" collapsed="false">
      <c r="A22" s="30" t="n">
        <v>45848</v>
      </c>
      <c r="B22" s="11" t="s">
        <v>535</v>
      </c>
      <c r="C22" s="11" t="s">
        <v>228</v>
      </c>
      <c r="D22" s="14" t="n">
        <v>9000</v>
      </c>
      <c r="E22" s="11" t="s">
        <v>536</v>
      </c>
      <c r="F22" s="11" t="s">
        <v>219</v>
      </c>
      <c r="G22" s="11" t="s">
        <v>533</v>
      </c>
      <c r="H22" s="36" t="n">
        <v>85.5392</v>
      </c>
      <c r="I22" s="12" t="n">
        <v>777981.48</v>
      </c>
      <c r="J22" s="12" t="n">
        <v>8128.68</v>
      </c>
    </row>
    <row r="23" customFormat="false" ht="15" hidden="false" customHeight="false" outlineLevel="0" collapsed="false">
      <c r="A23" s="30" t="n">
        <v>45873</v>
      </c>
      <c r="B23" s="11" t="s">
        <v>531</v>
      </c>
      <c r="C23" s="11" t="s">
        <v>224</v>
      </c>
      <c r="D23" s="14" t="n">
        <v>4591</v>
      </c>
      <c r="E23" s="11" t="s">
        <v>532</v>
      </c>
      <c r="F23" s="11" t="s">
        <v>212</v>
      </c>
      <c r="G23" s="11" t="s">
        <v>533</v>
      </c>
      <c r="H23" s="36" t="n">
        <v>85.2229</v>
      </c>
      <c r="I23" s="12" t="n">
        <v>402996.08</v>
      </c>
      <c r="J23" s="12" t="n">
        <v>11737.75</v>
      </c>
    </row>
    <row r="24" customFormat="false" ht="15" hidden="false" customHeight="false" outlineLevel="0" collapsed="false">
      <c r="A24" s="30" t="n">
        <v>45876</v>
      </c>
      <c r="B24" s="11" t="s">
        <v>534</v>
      </c>
      <c r="C24" s="11" t="s">
        <v>226</v>
      </c>
      <c r="D24" s="14" t="n">
        <v>1150</v>
      </c>
      <c r="E24" s="11" t="s">
        <v>532</v>
      </c>
      <c r="F24" s="11" t="s">
        <v>212</v>
      </c>
      <c r="G24" s="11" t="s">
        <v>533</v>
      </c>
      <c r="H24" s="36" t="n">
        <v>85.4747</v>
      </c>
      <c r="I24" s="12" t="n">
        <v>101244.78</v>
      </c>
      <c r="J24" s="12" t="n">
        <v>2948.88</v>
      </c>
    </row>
    <row r="25" customFormat="false" ht="15" hidden="false" customHeight="false" outlineLevel="0" collapsed="false">
      <c r="A25" s="30" t="n">
        <v>45903</v>
      </c>
      <c r="B25" s="11" t="s">
        <v>531</v>
      </c>
      <c r="C25" s="11" t="s">
        <v>224</v>
      </c>
      <c r="D25" s="14" t="n">
        <v>4336.77</v>
      </c>
      <c r="E25" s="11" t="s">
        <v>532</v>
      </c>
      <c r="F25" s="11" t="s">
        <v>212</v>
      </c>
      <c r="G25" s="11" t="s">
        <v>533</v>
      </c>
      <c r="H25" s="36" t="n">
        <v>85.1468</v>
      </c>
      <c r="I25" s="12" t="n">
        <v>380339.95</v>
      </c>
      <c r="J25" s="12" t="n">
        <v>11077.86</v>
      </c>
    </row>
    <row r="26" customFormat="false" ht="15" hidden="false" customHeight="false" outlineLevel="0" collapsed="false">
      <c r="A26" s="30" t="n">
        <v>45908</v>
      </c>
      <c r="B26" s="11" t="s">
        <v>534</v>
      </c>
      <c r="C26" s="11" t="s">
        <v>226</v>
      </c>
      <c r="D26" s="14" t="n">
        <v>1150</v>
      </c>
      <c r="E26" s="11" t="s">
        <v>532</v>
      </c>
      <c r="F26" s="11" t="s">
        <v>212</v>
      </c>
      <c r="G26" s="11" t="s">
        <v>533</v>
      </c>
      <c r="H26" s="36" t="n">
        <v>84.4522</v>
      </c>
      <c r="I26" s="12" t="n">
        <v>100033.63</v>
      </c>
      <c r="J26" s="12" t="n">
        <v>2913.6</v>
      </c>
    </row>
    <row r="27" customFormat="false" ht="15" hidden="false" customHeight="false" outlineLevel="0" collapsed="false">
      <c r="A27" s="30" t="n">
        <v>45933</v>
      </c>
      <c r="B27" s="11" t="s">
        <v>531</v>
      </c>
      <c r="C27" s="11" t="s">
        <v>224</v>
      </c>
      <c r="D27" s="14" t="n">
        <v>4524.41</v>
      </c>
      <c r="E27" s="11" t="s">
        <v>532</v>
      </c>
      <c r="F27" s="11" t="s">
        <v>212</v>
      </c>
      <c r="G27" s="11" t="s">
        <v>533</v>
      </c>
      <c r="H27" s="36" t="n">
        <v>84.7735</v>
      </c>
      <c r="I27" s="12" t="n">
        <v>395056.57</v>
      </c>
      <c r="J27" s="12" t="n">
        <v>11506.5</v>
      </c>
    </row>
    <row r="28" customFormat="false" ht="15" hidden="false" customHeight="false" outlineLevel="0" collapsed="false">
      <c r="A28" s="30" t="n">
        <v>45937</v>
      </c>
      <c r="B28" s="11" t="s">
        <v>534</v>
      </c>
      <c r="C28" s="11" t="s">
        <v>226</v>
      </c>
      <c r="D28" s="14" t="n">
        <v>1150</v>
      </c>
      <c r="E28" s="11" t="s">
        <v>532</v>
      </c>
      <c r="F28" s="11" t="s">
        <v>212</v>
      </c>
      <c r="G28" s="11" t="s">
        <v>533</v>
      </c>
      <c r="H28" s="36" t="n">
        <v>85.0699</v>
      </c>
      <c r="I28" s="12" t="n">
        <v>100765.3</v>
      </c>
      <c r="J28" s="12" t="n">
        <v>2934.91</v>
      </c>
    </row>
    <row r="29" customFormat="false" ht="15" hidden="false" customHeight="false" outlineLevel="0" collapsed="false">
      <c r="A29" s="30" t="n">
        <v>45940</v>
      </c>
      <c r="B29" s="11" t="s">
        <v>535</v>
      </c>
      <c r="C29" s="11" t="s">
        <v>228</v>
      </c>
      <c r="D29" s="14" t="n">
        <v>9000</v>
      </c>
      <c r="E29" s="11" t="s">
        <v>536</v>
      </c>
      <c r="F29" s="11" t="s">
        <v>219</v>
      </c>
      <c r="G29" s="11" t="s">
        <v>533</v>
      </c>
      <c r="H29" s="36" t="n">
        <v>85.3213</v>
      </c>
      <c r="I29" s="12" t="n">
        <v>776002.73</v>
      </c>
      <c r="J29" s="12" t="n">
        <v>8111.03</v>
      </c>
    </row>
    <row r="30" customFormat="false" ht="15" hidden="false" customHeight="false" outlineLevel="0" collapsed="false">
      <c r="A30" s="30" t="n">
        <v>45964</v>
      </c>
      <c r="B30" s="11" t="s">
        <v>531</v>
      </c>
      <c r="C30" s="11" t="s">
        <v>224</v>
      </c>
      <c r="D30" s="14" t="n">
        <v>4354.03</v>
      </c>
      <c r="E30" s="11" t="s">
        <v>532</v>
      </c>
      <c r="F30" s="11" t="s">
        <v>212</v>
      </c>
      <c r="G30" s="11" t="s">
        <v>533</v>
      </c>
      <c r="H30" s="36" t="n">
        <v>86.184</v>
      </c>
      <c r="I30" s="12" t="n">
        <v>386505.15</v>
      </c>
      <c r="J30" s="12" t="n">
        <v>11257.43</v>
      </c>
    </row>
    <row r="31" customFormat="false" ht="15" hidden="false" customHeight="false" outlineLevel="0" collapsed="false">
      <c r="A31" s="30" t="n">
        <v>45968</v>
      </c>
      <c r="B31" s="11" t="s">
        <v>534</v>
      </c>
      <c r="C31" s="11" t="s">
        <v>226</v>
      </c>
      <c r="D31" s="14" t="n">
        <v>1150</v>
      </c>
      <c r="E31" s="11" t="s">
        <v>532</v>
      </c>
      <c r="F31" s="11" t="s">
        <v>212</v>
      </c>
      <c r="G31" s="11" t="s">
        <v>533</v>
      </c>
      <c r="H31" s="36" t="n">
        <v>85.7549</v>
      </c>
      <c r="I31" s="12" t="n">
        <v>101576.68</v>
      </c>
      <c r="J31" s="12" t="n">
        <v>2958.54</v>
      </c>
    </row>
    <row r="32" customFormat="false" ht="15" hidden="false" customHeight="false" outlineLevel="0" collapsed="false">
      <c r="A32" s="30" t="n">
        <v>45994</v>
      </c>
      <c r="B32" s="11" t="s">
        <v>531</v>
      </c>
      <c r="C32" s="11" t="s">
        <v>224</v>
      </c>
      <c r="D32" s="14" t="n">
        <v>4845.22</v>
      </c>
      <c r="E32" s="11" t="s">
        <v>532</v>
      </c>
      <c r="F32" s="11" t="s">
        <v>212</v>
      </c>
      <c r="G32" s="11" t="s">
        <v>533</v>
      </c>
      <c r="H32" s="36" t="n">
        <v>86.421</v>
      </c>
      <c r="I32" s="12" t="n">
        <v>431290.62</v>
      </c>
      <c r="J32" s="12" t="n">
        <v>12561.86</v>
      </c>
    </row>
    <row r="33" customFormat="false" ht="15" hidden="false" customHeight="false" outlineLevel="0" collapsed="false">
      <c r="A33" s="30" t="n">
        <v>45999</v>
      </c>
      <c r="B33" s="11" t="s">
        <v>534</v>
      </c>
      <c r="C33" s="11" t="s">
        <v>226</v>
      </c>
      <c r="D33" s="14" t="n">
        <v>1150</v>
      </c>
      <c r="E33" s="11" t="s">
        <v>532</v>
      </c>
      <c r="F33" s="11" t="s">
        <v>212</v>
      </c>
      <c r="G33" s="11" t="s">
        <v>533</v>
      </c>
      <c r="H33" s="36" t="n">
        <v>86.0707</v>
      </c>
      <c r="I33" s="12" t="n">
        <v>101950.74</v>
      </c>
      <c r="J33" s="12" t="n">
        <v>2969.44</v>
      </c>
    </row>
    <row r="34" customFormat="false" ht="15" hidden="false" customHeight="false" outlineLevel="0" collapsed="false">
      <c r="A34" s="30" t="n">
        <v>46027</v>
      </c>
      <c r="B34" s="11" t="s">
        <v>531</v>
      </c>
      <c r="C34" s="11" t="s">
        <v>224</v>
      </c>
      <c r="D34" s="14" t="n">
        <v>4751.46</v>
      </c>
      <c r="E34" s="11" t="s">
        <v>532</v>
      </c>
      <c r="F34" s="11" t="s">
        <v>212</v>
      </c>
      <c r="G34" s="11" t="s">
        <v>533</v>
      </c>
      <c r="H34" s="36" t="n">
        <v>85.9621</v>
      </c>
      <c r="I34" s="12" t="n">
        <v>420698.84</v>
      </c>
      <c r="J34" s="12" t="n">
        <v>12253.36</v>
      </c>
    </row>
    <row r="35" customFormat="false" ht="15" hidden="false" customHeight="false" outlineLevel="0" collapsed="false">
      <c r="A35" s="30" t="n">
        <v>46029</v>
      </c>
      <c r="B35" s="11" t="s">
        <v>534</v>
      </c>
      <c r="C35" s="11" t="s">
        <v>226</v>
      </c>
      <c r="D35" s="14" t="n">
        <v>1290</v>
      </c>
      <c r="E35" s="11" t="s">
        <v>532</v>
      </c>
      <c r="F35" s="11" t="s">
        <v>212</v>
      </c>
      <c r="G35" s="11" t="s">
        <v>533</v>
      </c>
      <c r="H35" s="36" t="n">
        <v>86.3547</v>
      </c>
      <c r="I35" s="12" t="n">
        <v>114739.49</v>
      </c>
      <c r="J35" s="12" t="n">
        <v>3341.93</v>
      </c>
    </row>
    <row r="36" customFormat="false" ht="15" hidden="false" customHeight="false" outlineLevel="0" collapsed="false">
      <c r="A36" s="30" t="n">
        <v>46034</v>
      </c>
      <c r="B36" s="11" t="s">
        <v>535</v>
      </c>
      <c r="C36" s="11" t="s">
        <v>228</v>
      </c>
      <c r="D36" s="14" t="n">
        <v>9000</v>
      </c>
      <c r="E36" s="11" t="s">
        <v>536</v>
      </c>
      <c r="F36" s="11" t="s">
        <v>219</v>
      </c>
      <c r="G36" s="11" t="s">
        <v>533</v>
      </c>
      <c r="H36" s="36" t="n">
        <v>86.1826</v>
      </c>
      <c r="I36" s="12" t="n">
        <v>783824.19</v>
      </c>
      <c r="J36" s="12" t="n">
        <v>8180.79</v>
      </c>
    </row>
    <row r="37" customFormat="false" ht="15" hidden="false" customHeight="false" outlineLevel="0" collapsed="false">
      <c r="A37" s="30" t="n">
        <v>46056</v>
      </c>
      <c r="B37" s="11" t="s">
        <v>531</v>
      </c>
      <c r="C37" s="11" t="s">
        <v>224</v>
      </c>
      <c r="D37" s="14" t="n">
        <v>5159.7</v>
      </c>
      <c r="E37" s="11" t="s">
        <v>532</v>
      </c>
      <c r="F37" s="11" t="s">
        <v>212</v>
      </c>
      <c r="G37" s="11" t="s">
        <v>533</v>
      </c>
      <c r="H37" s="36" t="n">
        <v>87.1048</v>
      </c>
      <c r="I37" s="12" t="n">
        <v>462917.68</v>
      </c>
      <c r="J37" s="12" t="n">
        <v>13483.04</v>
      </c>
    </row>
    <row r="38" customFormat="false" ht="15" hidden="false" customHeight="false" outlineLevel="0" collapsed="false">
      <c r="A38" s="30" t="n">
        <v>46062</v>
      </c>
      <c r="B38" s="11" t="s">
        <v>534</v>
      </c>
      <c r="C38" s="11" t="s">
        <v>226</v>
      </c>
      <c r="D38" s="14" t="n">
        <v>1290</v>
      </c>
      <c r="E38" s="11" t="s">
        <v>532</v>
      </c>
      <c r="F38" s="11" t="s">
        <v>212</v>
      </c>
      <c r="G38" s="11" t="s">
        <v>533</v>
      </c>
      <c r="H38" s="36" t="n">
        <v>87.4464</v>
      </c>
      <c r="I38" s="12" t="n">
        <v>116190.03</v>
      </c>
      <c r="J38" s="12" t="n">
        <v>3384.18</v>
      </c>
    </row>
    <row r="39" customFormat="false" ht="15" hidden="false" customHeight="false" outlineLevel="0" collapsed="false">
      <c r="A39" s="30" t="n">
        <v>46084</v>
      </c>
      <c r="B39" s="11" t="s">
        <v>531</v>
      </c>
      <c r="C39" s="11" t="s">
        <v>224</v>
      </c>
      <c r="D39" s="14" t="n">
        <v>4951.82</v>
      </c>
      <c r="E39" s="11" t="s">
        <v>532</v>
      </c>
      <c r="F39" s="11" t="s">
        <v>212</v>
      </c>
      <c r="G39" s="11" t="s">
        <v>533</v>
      </c>
      <c r="H39" s="36" t="n">
        <v>87.0492</v>
      </c>
      <c r="I39" s="12" t="n">
        <v>443983.53</v>
      </c>
      <c r="J39" s="12" t="n">
        <v>12931.56</v>
      </c>
    </row>
    <row r="40" customFormat="false" ht="15" hidden="false" customHeight="false" outlineLevel="0" collapsed="false">
      <c r="A40" s="30" t="n">
        <v>46090</v>
      </c>
      <c r="B40" s="11" t="s">
        <v>534</v>
      </c>
      <c r="C40" s="11" t="s">
        <v>226</v>
      </c>
      <c r="D40" s="14" t="n">
        <v>1290</v>
      </c>
      <c r="E40" s="11" t="s">
        <v>532</v>
      </c>
      <c r="F40" s="11" t="s">
        <v>212</v>
      </c>
      <c r="G40" s="11" t="s">
        <v>533</v>
      </c>
      <c r="H40" s="36" t="n">
        <v>87.7391</v>
      </c>
      <c r="I40" s="12" t="n">
        <v>116578.94</v>
      </c>
      <c r="J40" s="12" t="n">
        <v>3395.5</v>
      </c>
    </row>
    <row r="41" customFormat="false" ht="15" hidden="false" customHeight="false" outlineLevel="0" collapsed="false">
      <c r="A41" s="30" t="n">
        <v>46115</v>
      </c>
      <c r="B41" s="11" t="s">
        <v>531</v>
      </c>
      <c r="C41" s="11" t="s">
        <v>224</v>
      </c>
      <c r="D41" s="14" t="n">
        <v>5297.27</v>
      </c>
      <c r="E41" s="11" t="s">
        <v>532</v>
      </c>
      <c r="F41" s="11" t="s">
        <v>212</v>
      </c>
      <c r="G41" s="11" t="s">
        <v>533</v>
      </c>
      <c r="H41" s="36" t="n">
        <v>87.9305</v>
      </c>
      <c r="I41" s="12" t="n">
        <v>479765.35</v>
      </c>
      <c r="J41" s="12" t="n">
        <v>13973.75</v>
      </c>
    </row>
    <row r="42" customFormat="false" ht="15" hidden="false" customHeight="false" outlineLevel="0" collapsed="false">
      <c r="A42" s="30" t="n">
        <v>46119</v>
      </c>
      <c r="B42" s="11" t="s">
        <v>534</v>
      </c>
      <c r="C42" s="11" t="s">
        <v>226</v>
      </c>
      <c r="D42" s="14" t="n">
        <v>1290</v>
      </c>
      <c r="E42" s="11" t="s">
        <v>532</v>
      </c>
      <c r="F42" s="11" t="s">
        <v>212</v>
      </c>
      <c r="G42" s="11" t="s">
        <v>533</v>
      </c>
      <c r="H42" s="36" t="n">
        <v>88.0992</v>
      </c>
      <c r="I42" s="12" t="n">
        <v>117057.41</v>
      </c>
      <c r="J42" s="12" t="n">
        <v>3409.44</v>
      </c>
    </row>
    <row r="43" customFormat="false" ht="15" hidden="false" customHeight="false" outlineLevel="0" collapsed="false">
      <c r="A43" s="30" t="n">
        <v>46122</v>
      </c>
      <c r="B43" s="11" t="s">
        <v>535</v>
      </c>
      <c r="C43" s="11" t="s">
        <v>228</v>
      </c>
      <c r="D43" s="14" t="n">
        <v>9000</v>
      </c>
      <c r="E43" s="11" t="s">
        <v>536</v>
      </c>
      <c r="F43" s="11" t="s">
        <v>219</v>
      </c>
      <c r="G43" s="11" t="s">
        <v>533</v>
      </c>
      <c r="H43" s="36" t="n">
        <v>87.9354</v>
      </c>
      <c r="I43" s="12" t="n">
        <v>799741.37</v>
      </c>
      <c r="J43" s="12" t="n">
        <v>8322.77</v>
      </c>
    </row>
    <row r="44" customFormat="false" ht="15" hidden="false" customHeight="false" outlineLevel="0" collapsed="false">
      <c r="A44" s="30" t="n">
        <v>46146</v>
      </c>
      <c r="B44" s="11" t="s">
        <v>531</v>
      </c>
      <c r="C44" s="11" t="s">
        <v>224</v>
      </c>
      <c r="D44" s="14" t="n">
        <v>5160.38</v>
      </c>
      <c r="E44" s="11" t="s">
        <v>532</v>
      </c>
      <c r="F44" s="11" t="s">
        <v>212</v>
      </c>
      <c r="G44" s="11" t="s">
        <v>533</v>
      </c>
      <c r="H44" s="36" t="n">
        <v>88.1221</v>
      </c>
      <c r="I44" s="12" t="n">
        <v>468385.83</v>
      </c>
      <c r="J44" s="12" t="n">
        <v>13642.31</v>
      </c>
    </row>
    <row r="45" customFormat="false" ht="15" hidden="false" customHeight="false" outlineLevel="0" collapsed="false">
      <c r="A45" s="30" t="n">
        <v>46149</v>
      </c>
      <c r="B45" s="11" t="s">
        <v>534</v>
      </c>
      <c r="C45" s="11" t="s">
        <v>226</v>
      </c>
      <c r="D45" s="14" t="n">
        <v>1290</v>
      </c>
      <c r="E45" s="11" t="s">
        <v>532</v>
      </c>
      <c r="F45" s="11" t="s">
        <v>212</v>
      </c>
      <c r="G45" s="11" t="s">
        <v>533</v>
      </c>
      <c r="H45" s="36" t="n">
        <v>88.159</v>
      </c>
      <c r="I45" s="12" t="n">
        <v>117136.86</v>
      </c>
      <c r="J45" s="12" t="n">
        <v>3411.75</v>
      </c>
    </row>
    <row r="46" customFormat="false" ht="15" hidden="false" customHeight="false" outlineLevel="0" collapsed="false">
      <c r="A46" s="30" t="n">
        <v>46176</v>
      </c>
      <c r="B46" s="11" t="s">
        <v>531</v>
      </c>
      <c r="C46" s="11" t="s">
        <v>224</v>
      </c>
      <c r="D46" s="14" t="n">
        <v>5334.37</v>
      </c>
      <c r="E46" s="11" t="s">
        <v>532</v>
      </c>
      <c r="F46" s="11" t="s">
        <v>212</v>
      </c>
      <c r="G46" s="11" t="s">
        <v>533</v>
      </c>
      <c r="H46" s="36" t="n">
        <v>88.2968</v>
      </c>
      <c r="I46" s="12" t="n">
        <v>485138.04</v>
      </c>
      <c r="J46" s="12" t="n">
        <v>14130.23</v>
      </c>
    </row>
    <row r="47" customFormat="false" ht="15" hidden="false" customHeight="false" outlineLevel="0" collapsed="false">
      <c r="A47" s="30" t="n">
        <v>46181</v>
      </c>
      <c r="B47" s="11" t="s">
        <v>534</v>
      </c>
      <c r="C47" s="11" t="s">
        <v>226</v>
      </c>
      <c r="D47" s="14" t="n">
        <v>1290</v>
      </c>
      <c r="E47" s="11" t="s">
        <v>532</v>
      </c>
      <c r="F47" s="11" t="s">
        <v>212</v>
      </c>
      <c r="G47" s="11" t="s">
        <v>533</v>
      </c>
      <c r="H47" s="36" t="n">
        <v>87.8772</v>
      </c>
      <c r="I47" s="12" t="n">
        <v>116762.44</v>
      </c>
      <c r="J47" s="12" t="n">
        <v>3400.85</v>
      </c>
    </row>
    <row r="48" customFormat="false" ht="15" hidden="false" customHeight="false" outlineLevel="0" collapsed="false">
      <c r="A48" s="30" t="n">
        <v>46206</v>
      </c>
      <c r="B48" s="11" t="s">
        <v>531</v>
      </c>
      <c r="C48" s="11" t="s">
        <v>224</v>
      </c>
      <c r="D48" s="14" t="n">
        <v>5696.47</v>
      </c>
      <c r="E48" s="11" t="s">
        <v>532</v>
      </c>
      <c r="F48" s="11" t="s">
        <v>212</v>
      </c>
      <c r="G48" s="11" t="s">
        <v>533</v>
      </c>
      <c r="H48" s="36" t="n">
        <v>87.3538</v>
      </c>
      <c r="I48" s="12" t="n">
        <v>512536.55</v>
      </c>
      <c r="J48" s="12" t="n">
        <v>14928.25</v>
      </c>
    </row>
    <row r="49" customFormat="false" ht="15" hidden="false" customHeight="false" outlineLevel="0" collapsed="false">
      <c r="A49" s="30" t="n">
        <v>46210</v>
      </c>
      <c r="B49" s="11" t="s">
        <v>534</v>
      </c>
      <c r="C49" s="11" t="s">
        <v>226</v>
      </c>
      <c r="D49" s="14" t="n">
        <v>1290</v>
      </c>
      <c r="E49" s="11" t="s">
        <v>532</v>
      </c>
      <c r="F49" s="11" t="s">
        <v>212</v>
      </c>
      <c r="G49" s="11" t="s">
        <v>533</v>
      </c>
      <c r="H49" s="36" t="n">
        <v>87.3048</v>
      </c>
      <c r="I49" s="12" t="n">
        <v>116001.89</v>
      </c>
      <c r="J49" s="12" t="n">
        <v>3378.7</v>
      </c>
    </row>
    <row r="50" customFormat="false" ht="15" hidden="false" customHeight="false" outlineLevel="0" collapsed="false">
      <c r="A50" s="30" t="n">
        <v>46213</v>
      </c>
      <c r="B50" s="11" t="s">
        <v>535</v>
      </c>
      <c r="C50" s="11" t="s">
        <v>228</v>
      </c>
      <c r="D50" s="14" t="n">
        <v>9000</v>
      </c>
      <c r="E50" s="11" t="s">
        <v>536</v>
      </c>
      <c r="F50" s="11" t="s">
        <v>219</v>
      </c>
      <c r="G50" s="11" t="s">
        <v>533</v>
      </c>
      <c r="H50" s="36" t="n">
        <v>87.6675</v>
      </c>
      <c r="I50" s="12" t="n">
        <v>797308.57</v>
      </c>
      <c r="J50" s="12" t="n">
        <v>8301.07</v>
      </c>
    </row>
    <row r="51" customFormat="false" ht="15" hidden="false" customHeight="false" outlineLevel="0" collapsed="false">
      <c r="A51" s="30" t="n">
        <v>46237</v>
      </c>
      <c r="B51" s="11" t="s">
        <v>531</v>
      </c>
      <c r="C51" s="11" t="s">
        <v>224</v>
      </c>
      <c r="D51" s="14" t="n">
        <v>5714</v>
      </c>
      <c r="E51" s="11" t="s">
        <v>532</v>
      </c>
      <c r="F51" s="11" t="s">
        <v>212</v>
      </c>
      <c r="G51" s="11" t="s">
        <v>533</v>
      </c>
      <c r="H51" s="36" t="n">
        <v>88.1699</v>
      </c>
      <c r="I51" s="12" t="n">
        <v>518916.89</v>
      </c>
      <c r="J51" s="12" t="n">
        <v>15114.08</v>
      </c>
    </row>
    <row r="52" customFormat="false" ht="15" hidden="false" customHeight="false" outlineLevel="0" collapsed="false">
      <c r="A52" s="30" t="n">
        <v>46241</v>
      </c>
      <c r="B52" s="11" t="s">
        <v>534</v>
      </c>
      <c r="C52" s="11" t="s">
        <v>226</v>
      </c>
      <c r="D52" s="14" t="n">
        <v>1290</v>
      </c>
      <c r="E52" s="11" t="s">
        <v>532</v>
      </c>
      <c r="F52" s="11" t="s">
        <v>212</v>
      </c>
      <c r="G52" s="11" t="s">
        <v>533</v>
      </c>
      <c r="H52" s="36" t="n">
        <v>88.0114</v>
      </c>
      <c r="I52" s="12" t="n">
        <v>116940.75</v>
      </c>
      <c r="J52" s="12" t="n">
        <v>3406.04</v>
      </c>
    </row>
    <row r="53" customFormat="false" ht="15" hidden="false" customHeight="false" outlineLevel="0" collapsed="false">
      <c r="A53" s="30" t="n">
        <v>46268</v>
      </c>
      <c r="B53" s="11" t="s">
        <v>531</v>
      </c>
      <c r="C53" s="11" t="s">
        <v>224</v>
      </c>
      <c r="D53" s="14" t="n">
        <v>6536.33</v>
      </c>
      <c r="E53" s="11" t="s">
        <v>532</v>
      </c>
      <c r="F53" s="11" t="s">
        <v>212</v>
      </c>
      <c r="G53" s="11" t="s">
        <v>533</v>
      </c>
      <c r="H53" s="36" t="n">
        <v>87.6871</v>
      </c>
      <c r="I53" s="12" t="n">
        <v>590346.38</v>
      </c>
      <c r="J53" s="12" t="n">
        <v>17194.55</v>
      </c>
    </row>
    <row r="54" customFormat="false" ht="15" hidden="false" customHeight="false" outlineLevel="0" collapsed="false">
      <c r="A54" s="30" t="n">
        <v>46272</v>
      </c>
      <c r="B54" s="11" t="s">
        <v>534</v>
      </c>
      <c r="C54" s="11" t="s">
        <v>226</v>
      </c>
      <c r="D54" s="14" t="n">
        <v>1290</v>
      </c>
      <c r="E54" s="11" t="s">
        <v>532</v>
      </c>
      <c r="F54" s="11" t="s">
        <v>212</v>
      </c>
      <c r="G54" s="11" t="s">
        <v>537</v>
      </c>
      <c r="H54" s="36" t="n">
        <v>87.7486</v>
      </c>
      <c r="I54" s="12" t="n">
        <v>0</v>
      </c>
      <c r="J54" s="12" t="n">
        <v>0</v>
      </c>
    </row>
    <row r="55" customFormat="false" ht="15" hidden="false" customHeight="false" outlineLevel="0" collapsed="false">
      <c r="A55" s="30" t="n">
        <v>46300</v>
      </c>
      <c r="B55" s="11" t="s">
        <v>531</v>
      </c>
      <c r="C55" s="11" t="s">
        <v>224</v>
      </c>
      <c r="D55" s="14" t="n">
        <v>7277.58</v>
      </c>
      <c r="E55" s="11" t="s">
        <v>532</v>
      </c>
      <c r="F55" s="11" t="s">
        <v>212</v>
      </c>
      <c r="G55" s="11" t="s">
        <v>537</v>
      </c>
      <c r="H55" s="36" t="n">
        <v>87.7417</v>
      </c>
      <c r="I55" s="12" t="n">
        <v>0</v>
      </c>
      <c r="J55" s="12" t="n">
        <v>0</v>
      </c>
    </row>
    <row r="56" customFormat="false" ht="15" hidden="false" customHeight="false" outlineLevel="0" collapsed="false">
      <c r="A56" s="30" t="n">
        <v>46302</v>
      </c>
      <c r="B56" s="11" t="s">
        <v>534</v>
      </c>
      <c r="C56" s="11" t="s">
        <v>226</v>
      </c>
      <c r="D56" s="14" t="n">
        <v>1290</v>
      </c>
      <c r="E56" s="11" t="s">
        <v>532</v>
      </c>
      <c r="F56" s="11" t="s">
        <v>212</v>
      </c>
      <c r="G56" s="11" t="s">
        <v>537</v>
      </c>
      <c r="H56" s="36" t="n">
        <v>87.8844</v>
      </c>
      <c r="I56" s="12" t="n">
        <v>0</v>
      </c>
      <c r="J56" s="12" t="n">
        <v>0</v>
      </c>
    </row>
    <row r="57" customFormat="false" ht="15" hidden="false" customHeight="false" outlineLevel="0" collapsed="false">
      <c r="A57" s="30" t="n">
        <v>46307</v>
      </c>
      <c r="B57" s="11" t="s">
        <v>535</v>
      </c>
      <c r="C57" s="11" t="s">
        <v>228</v>
      </c>
      <c r="D57" s="14" t="n">
        <v>9000</v>
      </c>
      <c r="E57" s="11" t="s">
        <v>536</v>
      </c>
      <c r="F57" s="11" t="s">
        <v>219</v>
      </c>
      <c r="G57" s="11" t="s">
        <v>537</v>
      </c>
      <c r="H57" s="36" t="n">
        <v>87.9507</v>
      </c>
      <c r="I57" s="12" t="n">
        <v>0</v>
      </c>
      <c r="J57" s="12" t="n">
        <v>0</v>
      </c>
    </row>
  </sheetData>
  <autoFilter ref="A1:J5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36"/>
    <col collapsed="false" customWidth="true" hidden="false" outlineLevel="0" max="3" min="3" style="0" width="13"/>
    <col collapsed="false" customWidth="true" hidden="false" outlineLevel="0" max="4" min="4" style="0" width="10"/>
    <col collapsed="false" customWidth="true" hidden="false" outlineLevel="0" max="5" min="5" style="0" width="15"/>
    <col collapsed="false" customWidth="true" hidden="false" outlineLevel="0" max="6" min="6" style="0" width="20"/>
    <col collapsed="false" customWidth="true" hidden="false" outlineLevel="0" max="7" min="7" style="0" width="16"/>
  </cols>
  <sheetData>
    <row r="1" customFormat="false" ht="23.85" hidden="false" customHeight="false" outlineLevel="0" collapsed="false">
      <c r="A1" s="4" t="s">
        <v>504</v>
      </c>
      <c r="B1" s="4" t="s">
        <v>75</v>
      </c>
      <c r="C1" s="4" t="s">
        <v>78</v>
      </c>
      <c r="D1" s="4" t="s">
        <v>538</v>
      </c>
      <c r="E1" s="4" t="s">
        <v>539</v>
      </c>
      <c r="F1" s="4" t="s">
        <v>540</v>
      </c>
      <c r="G1" s="4" t="s">
        <v>541</v>
      </c>
    </row>
    <row r="2" customFormat="false" ht="15" hidden="false" customHeight="false" outlineLevel="0" collapsed="false">
      <c r="A2" s="30" t="n">
        <v>45607</v>
      </c>
      <c r="B2" s="11" t="s">
        <v>542</v>
      </c>
      <c r="C2" s="14" t="n">
        <v>7320</v>
      </c>
      <c r="D2" s="36" t="n">
        <v>84.5224</v>
      </c>
      <c r="E2" s="12" t="n">
        <v>618703.97</v>
      </c>
      <c r="F2" s="11" t="s">
        <v>277</v>
      </c>
      <c r="G2" s="11"/>
    </row>
    <row r="3" customFormat="false" ht="15" hidden="false" customHeight="false" outlineLevel="0" collapsed="false">
      <c r="A3" s="30" t="n">
        <v>45607</v>
      </c>
      <c r="B3" s="11" t="s">
        <v>542</v>
      </c>
      <c r="C3" s="14" t="n">
        <v>4840</v>
      </c>
      <c r="D3" s="36" t="n">
        <v>84.5224</v>
      </c>
      <c r="E3" s="12" t="n">
        <v>409088.42</v>
      </c>
      <c r="F3" s="11" t="s">
        <v>280</v>
      </c>
      <c r="G3" s="11"/>
    </row>
    <row r="4" customFormat="false" ht="15" hidden="false" customHeight="false" outlineLevel="0" collapsed="false">
      <c r="A4" s="30" t="n">
        <v>45607</v>
      </c>
      <c r="B4" s="11" t="s">
        <v>542</v>
      </c>
      <c r="C4" s="14" t="n">
        <v>4370</v>
      </c>
      <c r="D4" s="36" t="n">
        <v>84.5224</v>
      </c>
      <c r="E4" s="12" t="n">
        <v>369362.89</v>
      </c>
      <c r="F4" s="11" t="s">
        <v>281</v>
      </c>
      <c r="G4" s="11"/>
    </row>
    <row r="5" customFormat="false" ht="15" hidden="false" customHeight="false" outlineLevel="0" collapsed="false">
      <c r="A5" s="30" t="n">
        <v>45607</v>
      </c>
      <c r="B5" s="11" t="s">
        <v>542</v>
      </c>
      <c r="C5" s="14" t="n">
        <v>6370</v>
      </c>
      <c r="D5" s="36" t="n">
        <v>84.5224</v>
      </c>
      <c r="E5" s="12" t="n">
        <v>538407.69</v>
      </c>
      <c r="F5" s="11" t="s">
        <v>283</v>
      </c>
      <c r="G5" s="11"/>
    </row>
    <row r="6" customFormat="false" ht="15" hidden="false" customHeight="false" outlineLevel="0" collapsed="false">
      <c r="A6" s="30" t="n">
        <v>45609</v>
      </c>
      <c r="B6" s="11" t="s">
        <v>542</v>
      </c>
      <c r="C6" s="14" t="n">
        <v>8730</v>
      </c>
      <c r="D6" s="36" t="n">
        <v>84.7553</v>
      </c>
      <c r="E6" s="12" t="n">
        <v>739913.77</v>
      </c>
      <c r="F6" s="11" t="s">
        <v>282</v>
      </c>
      <c r="G6" s="11"/>
    </row>
    <row r="7" customFormat="false" ht="15" hidden="false" customHeight="false" outlineLevel="0" collapsed="false">
      <c r="A7" s="30" t="n">
        <v>45635</v>
      </c>
      <c r="B7" s="11" t="s">
        <v>542</v>
      </c>
      <c r="C7" s="14" t="n">
        <v>4840</v>
      </c>
      <c r="D7" s="36" t="n">
        <v>83.5262</v>
      </c>
      <c r="E7" s="12" t="n">
        <v>404266.81</v>
      </c>
      <c r="F7" s="11" t="s">
        <v>286</v>
      </c>
      <c r="G7" s="11"/>
    </row>
    <row r="8" customFormat="false" ht="15" hidden="false" customHeight="false" outlineLevel="0" collapsed="false">
      <c r="A8" s="30" t="n">
        <v>45635</v>
      </c>
      <c r="B8" s="11" t="s">
        <v>542</v>
      </c>
      <c r="C8" s="14" t="n">
        <v>8730</v>
      </c>
      <c r="D8" s="36" t="n">
        <v>83.5262</v>
      </c>
      <c r="E8" s="12" t="n">
        <v>729183.73</v>
      </c>
      <c r="F8" s="11" t="s">
        <v>288</v>
      </c>
      <c r="G8" s="11"/>
    </row>
    <row r="9" customFormat="false" ht="15" hidden="false" customHeight="false" outlineLevel="0" collapsed="false">
      <c r="A9" s="30" t="n">
        <v>45635</v>
      </c>
      <c r="B9" s="11" t="s">
        <v>542</v>
      </c>
      <c r="C9" s="14" t="n">
        <v>6370</v>
      </c>
      <c r="D9" s="36" t="n">
        <v>83.5262</v>
      </c>
      <c r="E9" s="12" t="n">
        <v>532061.89</v>
      </c>
      <c r="F9" s="11" t="s">
        <v>289</v>
      </c>
      <c r="G9" s="11"/>
    </row>
    <row r="10" customFormat="false" ht="15" hidden="false" customHeight="false" outlineLevel="0" collapsed="false">
      <c r="A10" s="30" t="n">
        <v>45636</v>
      </c>
      <c r="B10" s="11" t="s">
        <v>542</v>
      </c>
      <c r="C10" s="14" t="n">
        <v>8140</v>
      </c>
      <c r="D10" s="36" t="n">
        <v>83.4755</v>
      </c>
      <c r="E10" s="12" t="n">
        <v>679490.57</v>
      </c>
      <c r="F10" s="11" t="s">
        <v>279</v>
      </c>
      <c r="G10" s="11"/>
    </row>
    <row r="11" customFormat="false" ht="15" hidden="false" customHeight="false" outlineLevel="0" collapsed="false">
      <c r="A11" s="30" t="n">
        <v>45639</v>
      </c>
      <c r="B11" s="11" t="s">
        <v>542</v>
      </c>
      <c r="C11" s="14" t="n">
        <v>4370</v>
      </c>
      <c r="D11" s="36" t="n">
        <v>83.7238</v>
      </c>
      <c r="E11" s="12" t="n">
        <v>365873.01</v>
      </c>
      <c r="F11" s="11" t="s">
        <v>287</v>
      </c>
      <c r="G11" s="11"/>
    </row>
    <row r="12" customFormat="false" ht="15" hidden="false" customHeight="false" outlineLevel="0" collapsed="false">
      <c r="A12" s="30" t="n">
        <v>45642</v>
      </c>
      <c r="B12" s="11" t="s">
        <v>542</v>
      </c>
      <c r="C12" s="14" t="n">
        <v>7320</v>
      </c>
      <c r="D12" s="36" t="n">
        <v>83.5829</v>
      </c>
      <c r="E12" s="12" t="n">
        <v>611826.83</v>
      </c>
      <c r="F12" s="11" t="s">
        <v>284</v>
      </c>
      <c r="G12" s="11"/>
    </row>
    <row r="13" customFormat="false" ht="15" hidden="false" customHeight="false" outlineLevel="0" collapsed="false">
      <c r="A13" s="30" t="n">
        <v>45664</v>
      </c>
      <c r="B13" s="11" t="s">
        <v>542</v>
      </c>
      <c r="C13" s="14" t="n">
        <v>4370</v>
      </c>
      <c r="D13" s="36" t="n">
        <v>83.6058</v>
      </c>
      <c r="E13" s="12" t="n">
        <v>365357.35</v>
      </c>
      <c r="F13" s="11" t="s">
        <v>294</v>
      </c>
      <c r="G13" s="11"/>
    </row>
    <row r="14" customFormat="false" ht="15" hidden="false" customHeight="false" outlineLevel="0" collapsed="false">
      <c r="A14" s="30" t="n">
        <v>45666</v>
      </c>
      <c r="B14" s="11" t="s">
        <v>542</v>
      </c>
      <c r="C14" s="14" t="n">
        <v>6370</v>
      </c>
      <c r="D14" s="36" t="n">
        <v>83.8237</v>
      </c>
      <c r="E14" s="12" t="n">
        <v>533956.97</v>
      </c>
      <c r="F14" s="11" t="s">
        <v>296</v>
      </c>
      <c r="G14" s="11"/>
    </row>
    <row r="15" customFormat="false" ht="15" hidden="false" customHeight="false" outlineLevel="0" collapsed="false">
      <c r="A15" s="30" t="n">
        <v>45670</v>
      </c>
      <c r="B15" s="11" t="s">
        <v>542</v>
      </c>
      <c r="C15" s="14" t="n">
        <v>8730</v>
      </c>
      <c r="D15" s="36" t="n">
        <v>83.5779</v>
      </c>
      <c r="E15" s="12" t="n">
        <v>729635.07</v>
      </c>
      <c r="F15" s="11" t="s">
        <v>295</v>
      </c>
      <c r="G15" s="11"/>
    </row>
    <row r="16" customFormat="false" ht="15" hidden="false" customHeight="false" outlineLevel="0" collapsed="false">
      <c r="A16" s="30" t="n">
        <v>45671</v>
      </c>
      <c r="B16" s="11" t="s">
        <v>542</v>
      </c>
      <c r="C16" s="14" t="n">
        <v>7320</v>
      </c>
      <c r="D16" s="36" t="n">
        <v>83.5359</v>
      </c>
      <c r="E16" s="12" t="n">
        <v>611482.79</v>
      </c>
      <c r="F16" s="11" t="s">
        <v>290</v>
      </c>
      <c r="G16" s="11"/>
    </row>
    <row r="17" customFormat="false" ht="15" hidden="false" customHeight="false" outlineLevel="0" collapsed="false">
      <c r="A17" s="30" t="n">
        <v>45671</v>
      </c>
      <c r="B17" s="11" t="s">
        <v>542</v>
      </c>
      <c r="C17" s="14" t="n">
        <v>4840</v>
      </c>
      <c r="D17" s="36" t="n">
        <v>83.5359</v>
      </c>
      <c r="E17" s="12" t="n">
        <v>404313.76</v>
      </c>
      <c r="F17" s="11" t="s">
        <v>292</v>
      </c>
      <c r="G17" s="11"/>
    </row>
    <row r="18" customFormat="false" ht="15" hidden="false" customHeight="false" outlineLevel="0" collapsed="false">
      <c r="A18" s="30" t="n">
        <v>45677</v>
      </c>
      <c r="B18" s="11" t="s">
        <v>542</v>
      </c>
      <c r="C18" s="14" t="n">
        <v>8140</v>
      </c>
      <c r="D18" s="36" t="n">
        <v>83.6609</v>
      </c>
      <c r="E18" s="12" t="n">
        <v>680999.73</v>
      </c>
      <c r="F18" s="11" t="s">
        <v>285</v>
      </c>
      <c r="G18" s="11"/>
    </row>
    <row r="19" customFormat="false" ht="15" hidden="false" customHeight="false" outlineLevel="0" collapsed="false">
      <c r="A19" s="30" t="n">
        <v>45677</v>
      </c>
      <c r="B19" s="11" t="s">
        <v>542</v>
      </c>
      <c r="C19" s="14" t="n">
        <v>55220</v>
      </c>
      <c r="D19" s="36" t="n">
        <v>83.6609</v>
      </c>
      <c r="E19" s="12" t="n">
        <v>4619754.9</v>
      </c>
      <c r="F19" s="11" t="s">
        <v>293</v>
      </c>
      <c r="G19" s="11"/>
    </row>
    <row r="20" customFormat="false" ht="15" hidden="false" customHeight="false" outlineLevel="0" collapsed="false">
      <c r="A20" s="30" t="n">
        <v>45698</v>
      </c>
      <c r="B20" s="11" t="s">
        <v>542</v>
      </c>
      <c r="C20" s="14" t="n">
        <v>7320</v>
      </c>
      <c r="D20" s="36" t="n">
        <v>84.4789</v>
      </c>
      <c r="E20" s="12" t="n">
        <v>618385.55</v>
      </c>
      <c r="F20" s="11" t="s">
        <v>297</v>
      </c>
      <c r="G20" s="11"/>
    </row>
    <row r="21" customFormat="false" ht="15" hidden="false" customHeight="false" outlineLevel="0" collapsed="false">
      <c r="A21" s="30" t="n">
        <v>45698</v>
      </c>
      <c r="B21" s="11" t="s">
        <v>542</v>
      </c>
      <c r="C21" s="14" t="n">
        <v>4370</v>
      </c>
      <c r="D21" s="36" t="n">
        <v>84.4789</v>
      </c>
      <c r="E21" s="12" t="n">
        <v>369172.79</v>
      </c>
      <c r="F21" s="11" t="s">
        <v>300</v>
      </c>
      <c r="G21" s="11"/>
    </row>
    <row r="22" customFormat="false" ht="15" hidden="false" customHeight="false" outlineLevel="0" collapsed="false">
      <c r="A22" s="30" t="n">
        <v>45698</v>
      </c>
      <c r="B22" s="11" t="s">
        <v>542</v>
      </c>
      <c r="C22" s="14" t="n">
        <v>8730</v>
      </c>
      <c r="D22" s="36" t="n">
        <v>84.4789</v>
      </c>
      <c r="E22" s="12" t="n">
        <v>737500.8</v>
      </c>
      <c r="F22" s="11" t="s">
        <v>302</v>
      </c>
      <c r="G22" s="11"/>
    </row>
    <row r="23" customFormat="false" ht="15" hidden="false" customHeight="false" outlineLevel="0" collapsed="false">
      <c r="A23" s="30" t="n">
        <v>45700</v>
      </c>
      <c r="B23" s="11" t="s">
        <v>542</v>
      </c>
      <c r="C23" s="14" t="n">
        <v>4840</v>
      </c>
      <c r="D23" s="36" t="n">
        <v>84.5273</v>
      </c>
      <c r="E23" s="12" t="n">
        <v>409112.13</v>
      </c>
      <c r="F23" s="11" t="s">
        <v>299</v>
      </c>
      <c r="G23" s="11"/>
    </row>
    <row r="24" customFormat="false" ht="15" hidden="false" customHeight="false" outlineLevel="0" collapsed="false">
      <c r="A24" s="30" t="n">
        <v>45702</v>
      </c>
      <c r="B24" s="11" t="s">
        <v>542</v>
      </c>
      <c r="C24" s="14" t="n">
        <v>3660</v>
      </c>
      <c r="D24" s="36" t="n">
        <v>84.408</v>
      </c>
      <c r="E24" s="12" t="n">
        <v>308933.28</v>
      </c>
      <c r="F24" s="11" t="s">
        <v>301</v>
      </c>
      <c r="G24" s="11"/>
    </row>
    <row r="25" customFormat="false" ht="15" hidden="false" customHeight="false" outlineLevel="0" collapsed="false">
      <c r="A25" s="30" t="n">
        <v>45702</v>
      </c>
      <c r="B25" s="11" t="s">
        <v>542</v>
      </c>
      <c r="C25" s="14" t="n">
        <v>6370</v>
      </c>
      <c r="D25" s="36" t="n">
        <v>84.408</v>
      </c>
      <c r="E25" s="12" t="n">
        <v>537678.96</v>
      </c>
      <c r="F25" s="11" t="s">
        <v>303</v>
      </c>
      <c r="G25" s="11"/>
    </row>
    <row r="26" customFormat="false" ht="15" hidden="false" customHeight="false" outlineLevel="0" collapsed="false">
      <c r="A26" s="30" t="n">
        <v>45714</v>
      </c>
      <c r="B26" s="11" t="s">
        <v>542</v>
      </c>
      <c r="C26" s="14" t="n">
        <v>8140</v>
      </c>
      <c r="D26" s="36" t="n">
        <v>84.4407</v>
      </c>
      <c r="E26" s="12" t="n">
        <v>687347.3</v>
      </c>
      <c r="F26" s="11" t="s">
        <v>291</v>
      </c>
      <c r="G26" s="11"/>
    </row>
    <row r="27" customFormat="false" ht="15" hidden="false" customHeight="false" outlineLevel="0" collapsed="false">
      <c r="A27" s="30" t="n">
        <v>45726</v>
      </c>
      <c r="B27" s="11" t="s">
        <v>542</v>
      </c>
      <c r="C27" s="14" t="n">
        <v>4370</v>
      </c>
      <c r="D27" s="36" t="n">
        <v>84.7159</v>
      </c>
      <c r="E27" s="12" t="n">
        <v>370208.48</v>
      </c>
      <c r="F27" s="11" t="s">
        <v>307</v>
      </c>
      <c r="G27" s="11"/>
    </row>
    <row r="28" customFormat="false" ht="15" hidden="false" customHeight="false" outlineLevel="0" collapsed="false">
      <c r="A28" s="30" t="n">
        <v>45726</v>
      </c>
      <c r="B28" s="11" t="s">
        <v>542</v>
      </c>
      <c r="C28" s="14" t="n">
        <v>6370</v>
      </c>
      <c r="D28" s="36" t="n">
        <v>84.7159</v>
      </c>
      <c r="E28" s="12" t="n">
        <v>539640.28</v>
      </c>
      <c r="F28" s="11" t="s">
        <v>310</v>
      </c>
      <c r="G28" s="11"/>
    </row>
    <row r="29" customFormat="false" ht="15" hidden="false" customHeight="false" outlineLevel="0" collapsed="false">
      <c r="A29" s="30" t="n">
        <v>45727</v>
      </c>
      <c r="B29" s="11" t="s">
        <v>542</v>
      </c>
      <c r="C29" s="14" t="n">
        <v>4840</v>
      </c>
      <c r="D29" s="36" t="n">
        <v>84.5873</v>
      </c>
      <c r="E29" s="12" t="n">
        <v>409402.53</v>
      </c>
      <c r="F29" s="11" t="s">
        <v>306</v>
      </c>
      <c r="G29" s="11"/>
    </row>
    <row r="30" customFormat="false" ht="15" hidden="false" customHeight="false" outlineLevel="0" collapsed="false">
      <c r="A30" s="30" t="n">
        <v>45727</v>
      </c>
      <c r="B30" s="11" t="s">
        <v>542</v>
      </c>
      <c r="C30" s="14" t="n">
        <v>8730</v>
      </c>
      <c r="D30" s="36" t="n">
        <v>84.5873</v>
      </c>
      <c r="E30" s="12" t="n">
        <v>738447.13</v>
      </c>
      <c r="F30" s="11" t="s">
        <v>309</v>
      </c>
      <c r="G30" s="11"/>
    </row>
    <row r="31" customFormat="false" ht="15" hidden="false" customHeight="false" outlineLevel="0" collapsed="false">
      <c r="A31" s="30" t="n">
        <v>45733</v>
      </c>
      <c r="B31" s="11" t="s">
        <v>542</v>
      </c>
      <c r="C31" s="14" t="n">
        <v>7320</v>
      </c>
      <c r="D31" s="36" t="n">
        <v>84.6629</v>
      </c>
      <c r="E31" s="12" t="n">
        <v>619732.43</v>
      </c>
      <c r="F31" s="11" t="s">
        <v>304</v>
      </c>
      <c r="G31" s="11"/>
    </row>
    <row r="32" customFormat="false" ht="15" hidden="false" customHeight="false" outlineLevel="0" collapsed="false">
      <c r="A32" s="30" t="n">
        <v>45733</v>
      </c>
      <c r="B32" s="11" t="s">
        <v>542</v>
      </c>
      <c r="C32" s="14" t="n">
        <v>3660</v>
      </c>
      <c r="D32" s="36" t="n">
        <v>84.6629</v>
      </c>
      <c r="E32" s="12" t="n">
        <v>309866.21</v>
      </c>
      <c r="F32" s="11" t="s">
        <v>308</v>
      </c>
      <c r="G32" s="11"/>
    </row>
    <row r="33" customFormat="false" ht="15" hidden="false" customHeight="false" outlineLevel="0" collapsed="false">
      <c r="A33" s="30" t="n">
        <v>45748</v>
      </c>
      <c r="B33" s="11" t="s">
        <v>542</v>
      </c>
      <c r="C33" s="14" t="n">
        <v>8140</v>
      </c>
      <c r="D33" s="36" t="n">
        <v>84.6726</v>
      </c>
      <c r="E33" s="12" t="n">
        <v>689234.96</v>
      </c>
      <c r="F33" s="11" t="s">
        <v>298</v>
      </c>
      <c r="G33" s="11"/>
    </row>
    <row r="34" customFormat="false" ht="15" hidden="false" customHeight="false" outlineLevel="0" collapsed="false">
      <c r="A34" s="30" t="n">
        <v>45754</v>
      </c>
      <c r="B34" s="11" t="s">
        <v>542</v>
      </c>
      <c r="C34" s="14" t="n">
        <v>4840</v>
      </c>
      <c r="D34" s="36" t="n">
        <v>85.113</v>
      </c>
      <c r="E34" s="12" t="n">
        <v>411946.92</v>
      </c>
      <c r="F34" s="11" t="s">
        <v>313</v>
      </c>
      <c r="G34" s="11"/>
    </row>
    <row r="35" customFormat="false" ht="15" hidden="false" customHeight="false" outlineLevel="0" collapsed="false">
      <c r="A35" s="30" t="n">
        <v>45754</v>
      </c>
      <c r="B35" s="11" t="s">
        <v>542</v>
      </c>
      <c r="C35" s="14" t="n">
        <v>8730</v>
      </c>
      <c r="D35" s="36" t="n">
        <v>85.113</v>
      </c>
      <c r="E35" s="12" t="n">
        <v>743036.49</v>
      </c>
      <c r="F35" s="11" t="s">
        <v>316</v>
      </c>
      <c r="G35" s="11"/>
    </row>
    <row r="36" customFormat="false" ht="15" hidden="false" customHeight="false" outlineLevel="0" collapsed="false">
      <c r="A36" s="30" t="n">
        <v>45754</v>
      </c>
      <c r="B36" s="11" t="s">
        <v>542</v>
      </c>
      <c r="C36" s="14" t="n">
        <v>6370</v>
      </c>
      <c r="D36" s="36" t="n">
        <v>85.113</v>
      </c>
      <c r="E36" s="12" t="n">
        <v>542169.81</v>
      </c>
      <c r="F36" s="11" t="s">
        <v>317</v>
      </c>
      <c r="G36" s="11"/>
    </row>
    <row r="37" customFormat="false" ht="15" hidden="false" customHeight="false" outlineLevel="0" collapsed="false">
      <c r="A37" s="30" t="n">
        <v>45755</v>
      </c>
      <c r="B37" s="11" t="s">
        <v>542</v>
      </c>
      <c r="C37" s="14" t="n">
        <v>4370</v>
      </c>
      <c r="D37" s="36" t="n">
        <v>85.2216</v>
      </c>
      <c r="E37" s="12" t="n">
        <v>372418.39</v>
      </c>
      <c r="F37" s="11" t="s">
        <v>314</v>
      </c>
      <c r="G37" s="11"/>
    </row>
    <row r="38" customFormat="false" ht="15" hidden="false" customHeight="false" outlineLevel="0" collapsed="false">
      <c r="A38" s="30" t="n">
        <v>45757</v>
      </c>
      <c r="B38" s="11" t="s">
        <v>542</v>
      </c>
      <c r="C38" s="14" t="n">
        <v>7320</v>
      </c>
      <c r="D38" s="36" t="n">
        <v>85.0288</v>
      </c>
      <c r="E38" s="12" t="n">
        <v>622410.82</v>
      </c>
      <c r="F38" s="11" t="s">
        <v>311</v>
      </c>
      <c r="G38" s="11"/>
    </row>
    <row r="39" customFormat="false" ht="15" hidden="false" customHeight="false" outlineLevel="0" collapsed="false">
      <c r="A39" s="30" t="n">
        <v>45762</v>
      </c>
      <c r="B39" s="11" t="s">
        <v>542</v>
      </c>
      <c r="C39" s="14" t="n">
        <v>3660</v>
      </c>
      <c r="D39" s="36" t="n">
        <v>85.2023</v>
      </c>
      <c r="E39" s="12" t="n">
        <v>311840.42</v>
      </c>
      <c r="F39" s="11" t="s">
        <v>315</v>
      </c>
      <c r="G39" s="11"/>
    </row>
    <row r="40" customFormat="false" ht="15" hidden="false" customHeight="false" outlineLevel="0" collapsed="false">
      <c r="A40" s="30" t="n">
        <v>45763</v>
      </c>
      <c r="B40" s="11" t="s">
        <v>542</v>
      </c>
      <c r="C40" s="14" t="n">
        <v>8140</v>
      </c>
      <c r="D40" s="36" t="n">
        <v>85.2083</v>
      </c>
      <c r="E40" s="12" t="n">
        <v>693595.56</v>
      </c>
      <c r="F40" s="11" t="s">
        <v>305</v>
      </c>
      <c r="G40" s="11"/>
    </row>
    <row r="41" customFormat="false" ht="15" hidden="false" customHeight="false" outlineLevel="0" collapsed="false">
      <c r="A41" s="30" t="n">
        <v>45790</v>
      </c>
      <c r="B41" s="11" t="s">
        <v>542</v>
      </c>
      <c r="C41" s="14" t="n">
        <v>7320</v>
      </c>
      <c r="D41" s="36" t="n">
        <v>84.8746</v>
      </c>
      <c r="E41" s="12" t="n">
        <v>621282.07</v>
      </c>
      <c r="F41" s="11" t="s">
        <v>318</v>
      </c>
      <c r="G41" s="11"/>
    </row>
    <row r="42" customFormat="false" ht="15" hidden="false" customHeight="false" outlineLevel="0" collapsed="false">
      <c r="A42" s="30" t="n">
        <v>45790</v>
      </c>
      <c r="B42" s="11" t="s">
        <v>542</v>
      </c>
      <c r="C42" s="14" t="n">
        <v>8730</v>
      </c>
      <c r="D42" s="36" t="n">
        <v>84.8746</v>
      </c>
      <c r="E42" s="12" t="n">
        <v>740955.26</v>
      </c>
      <c r="F42" s="11" t="s">
        <v>323</v>
      </c>
      <c r="G42" s="11"/>
    </row>
    <row r="43" customFormat="false" ht="15" hidden="false" customHeight="false" outlineLevel="0" collapsed="false">
      <c r="A43" s="30" t="n">
        <v>45790</v>
      </c>
      <c r="B43" s="11" t="s">
        <v>542</v>
      </c>
      <c r="C43" s="14" t="n">
        <v>6370</v>
      </c>
      <c r="D43" s="36" t="n">
        <v>84.8746</v>
      </c>
      <c r="E43" s="12" t="n">
        <v>540651.2</v>
      </c>
      <c r="F43" s="11" t="s">
        <v>324</v>
      </c>
      <c r="G43" s="11"/>
    </row>
    <row r="44" customFormat="false" ht="15" hidden="false" customHeight="false" outlineLevel="0" collapsed="false">
      <c r="A44" s="30" t="n">
        <v>45791</v>
      </c>
      <c r="B44" s="11" t="s">
        <v>542</v>
      </c>
      <c r="C44" s="14" t="n">
        <v>4370</v>
      </c>
      <c r="D44" s="36" t="n">
        <v>84.9214</v>
      </c>
      <c r="E44" s="12" t="n">
        <v>371106.52</v>
      </c>
      <c r="F44" s="11" t="s">
        <v>321</v>
      </c>
      <c r="G44" s="11"/>
    </row>
    <row r="45" customFormat="false" ht="15" hidden="false" customHeight="false" outlineLevel="0" collapsed="false">
      <c r="A45" s="30" t="n">
        <v>45792</v>
      </c>
      <c r="B45" s="11" t="s">
        <v>542</v>
      </c>
      <c r="C45" s="14" t="n">
        <v>4840</v>
      </c>
      <c r="D45" s="36" t="n">
        <v>84.863</v>
      </c>
      <c r="E45" s="12" t="n">
        <v>410736.92</v>
      </c>
      <c r="F45" s="11" t="s">
        <v>320</v>
      </c>
      <c r="G45" s="11"/>
    </row>
    <row r="46" customFormat="false" ht="15" hidden="false" customHeight="false" outlineLevel="0" collapsed="false">
      <c r="A46" s="30" t="n">
        <v>45792</v>
      </c>
      <c r="B46" s="11" t="s">
        <v>542</v>
      </c>
      <c r="C46" s="14" t="n">
        <v>3660</v>
      </c>
      <c r="D46" s="36" t="n">
        <v>84.863</v>
      </c>
      <c r="E46" s="12" t="n">
        <v>310598.58</v>
      </c>
      <c r="F46" s="11" t="s">
        <v>322</v>
      </c>
      <c r="G46" s="11"/>
    </row>
    <row r="47" customFormat="false" ht="15" hidden="false" customHeight="false" outlineLevel="0" collapsed="false">
      <c r="A47" s="30" t="n">
        <v>45804</v>
      </c>
      <c r="B47" s="11" t="s">
        <v>542</v>
      </c>
      <c r="C47" s="14" t="n">
        <v>8140</v>
      </c>
      <c r="D47" s="36" t="n">
        <v>84.9744</v>
      </c>
      <c r="E47" s="12" t="n">
        <v>691691.62</v>
      </c>
      <c r="F47" s="11" t="s">
        <v>312</v>
      </c>
      <c r="G47" s="11"/>
    </row>
    <row r="48" customFormat="false" ht="15" hidden="false" customHeight="false" outlineLevel="0" collapsed="false">
      <c r="A48" s="30" t="n">
        <v>45817</v>
      </c>
      <c r="B48" s="11" t="s">
        <v>542</v>
      </c>
      <c r="C48" s="14" t="n">
        <v>8140</v>
      </c>
      <c r="D48" s="36" t="n">
        <v>86.0785</v>
      </c>
      <c r="E48" s="12" t="n">
        <v>700678.99</v>
      </c>
      <c r="F48" s="11" t="s">
        <v>319</v>
      </c>
      <c r="G48" s="11"/>
    </row>
    <row r="49" customFormat="false" ht="15" hidden="false" customHeight="false" outlineLevel="0" collapsed="false">
      <c r="A49" s="30" t="n">
        <v>45817</v>
      </c>
      <c r="B49" s="11" t="s">
        <v>542</v>
      </c>
      <c r="C49" s="14" t="n">
        <v>7320</v>
      </c>
      <c r="D49" s="36" t="n">
        <v>86.0785</v>
      </c>
      <c r="E49" s="12" t="n">
        <v>630094.62</v>
      </c>
      <c r="F49" s="11" t="s">
        <v>325</v>
      </c>
      <c r="G49" s="11"/>
    </row>
    <row r="50" customFormat="false" ht="15" hidden="false" customHeight="false" outlineLevel="0" collapsed="false">
      <c r="A50" s="30" t="n">
        <v>45817</v>
      </c>
      <c r="B50" s="11" t="s">
        <v>542</v>
      </c>
      <c r="C50" s="14" t="n">
        <v>3070</v>
      </c>
      <c r="D50" s="36" t="n">
        <v>86.0785</v>
      </c>
      <c r="E50" s="12" t="n">
        <v>264260.99</v>
      </c>
      <c r="F50" s="11" t="s">
        <v>331</v>
      </c>
      <c r="G50" s="11"/>
    </row>
    <row r="51" customFormat="false" ht="15" hidden="false" customHeight="false" outlineLevel="0" collapsed="false">
      <c r="A51" s="30" t="n">
        <v>45817</v>
      </c>
      <c r="B51" s="11" t="s">
        <v>542</v>
      </c>
      <c r="C51" s="14" t="n">
        <v>6370</v>
      </c>
      <c r="D51" s="36" t="n">
        <v>86.0785</v>
      </c>
      <c r="E51" s="12" t="n">
        <v>548320.05</v>
      </c>
      <c r="F51" s="11" t="s">
        <v>332</v>
      </c>
      <c r="G51" s="11"/>
    </row>
    <row r="52" customFormat="false" ht="15" hidden="false" customHeight="false" outlineLevel="0" collapsed="false">
      <c r="A52" s="30" t="n">
        <v>45820</v>
      </c>
      <c r="B52" s="11" t="s">
        <v>542</v>
      </c>
      <c r="C52" s="14" t="n">
        <v>8730</v>
      </c>
      <c r="D52" s="36" t="n">
        <v>85.815</v>
      </c>
      <c r="E52" s="12" t="n">
        <v>749164.95</v>
      </c>
      <c r="F52" s="11" t="s">
        <v>330</v>
      </c>
      <c r="G52" s="11"/>
    </row>
    <row r="53" customFormat="false" ht="15" hidden="false" customHeight="false" outlineLevel="0" collapsed="false">
      <c r="A53" s="30" t="n">
        <v>45821</v>
      </c>
      <c r="B53" s="11" t="s">
        <v>542</v>
      </c>
      <c r="C53" s="14" t="n">
        <v>3660</v>
      </c>
      <c r="D53" s="36" t="n">
        <v>85.6824</v>
      </c>
      <c r="E53" s="12" t="n">
        <v>313597.58</v>
      </c>
      <c r="F53" s="11" t="s">
        <v>329</v>
      </c>
      <c r="G53" s="11"/>
    </row>
    <row r="54" customFormat="false" ht="15" hidden="false" customHeight="false" outlineLevel="0" collapsed="false">
      <c r="A54" s="30" t="n">
        <v>45824</v>
      </c>
      <c r="B54" s="11" t="s">
        <v>542</v>
      </c>
      <c r="C54" s="14" t="n">
        <v>4840</v>
      </c>
      <c r="D54" s="36" t="n">
        <v>85.7071</v>
      </c>
      <c r="E54" s="12" t="n">
        <v>414822.36</v>
      </c>
      <c r="F54" s="11" t="s">
        <v>327</v>
      </c>
      <c r="G54" s="11"/>
    </row>
    <row r="55" customFormat="false" ht="15" hidden="false" customHeight="false" outlineLevel="0" collapsed="false">
      <c r="A55" s="30" t="n">
        <v>45824</v>
      </c>
      <c r="B55" s="11" t="s">
        <v>542</v>
      </c>
      <c r="C55" s="14" t="n">
        <v>4370</v>
      </c>
      <c r="D55" s="36" t="n">
        <v>85.7071</v>
      </c>
      <c r="E55" s="12" t="n">
        <v>374540.03</v>
      </c>
      <c r="F55" s="11" t="s">
        <v>328</v>
      </c>
      <c r="G55" s="11"/>
    </row>
    <row r="56" customFormat="false" ht="15" hidden="false" customHeight="false" outlineLevel="0" collapsed="false">
      <c r="A56" s="30" t="n">
        <v>45845</v>
      </c>
      <c r="B56" s="11" t="s">
        <v>542</v>
      </c>
      <c r="C56" s="14" t="n">
        <v>3660</v>
      </c>
      <c r="D56" s="36" t="n">
        <v>85.8021</v>
      </c>
      <c r="E56" s="12" t="n">
        <v>314035.69</v>
      </c>
      <c r="F56" s="11" t="s">
        <v>338</v>
      </c>
      <c r="G56" s="11"/>
    </row>
    <row r="57" customFormat="false" ht="15" hidden="false" customHeight="false" outlineLevel="0" collapsed="false">
      <c r="A57" s="30" t="n">
        <v>45845</v>
      </c>
      <c r="B57" s="11" t="s">
        <v>542</v>
      </c>
      <c r="C57" s="14" t="n">
        <v>6370</v>
      </c>
      <c r="D57" s="36" t="n">
        <v>85.8021</v>
      </c>
      <c r="E57" s="12" t="n">
        <v>546559.38</v>
      </c>
      <c r="F57" s="11" t="s">
        <v>341</v>
      </c>
      <c r="G57" s="11"/>
    </row>
    <row r="58" customFormat="false" ht="15" hidden="false" customHeight="false" outlineLevel="0" collapsed="false">
      <c r="A58" s="30" t="n">
        <v>45847</v>
      </c>
      <c r="B58" s="11" t="s">
        <v>542</v>
      </c>
      <c r="C58" s="14" t="n">
        <v>4370</v>
      </c>
      <c r="D58" s="36" t="n">
        <v>85.6385</v>
      </c>
      <c r="E58" s="12" t="n">
        <v>374240.24</v>
      </c>
      <c r="F58" s="11" t="s">
        <v>337</v>
      </c>
      <c r="G58" s="11"/>
    </row>
    <row r="59" customFormat="false" ht="15" hidden="false" customHeight="false" outlineLevel="0" collapsed="false">
      <c r="A59" s="30" t="n">
        <v>45849</v>
      </c>
      <c r="B59" s="11" t="s">
        <v>542</v>
      </c>
      <c r="C59" s="14" t="n">
        <v>8730</v>
      </c>
      <c r="D59" s="36" t="n">
        <v>85.5935</v>
      </c>
      <c r="E59" s="12" t="n">
        <v>747231.26</v>
      </c>
      <c r="F59" s="11" t="s">
        <v>339</v>
      </c>
      <c r="G59" s="11"/>
    </row>
    <row r="60" customFormat="false" ht="15" hidden="false" customHeight="false" outlineLevel="0" collapsed="false">
      <c r="A60" s="30" t="n">
        <v>45852</v>
      </c>
      <c r="B60" s="11" t="s">
        <v>542</v>
      </c>
      <c r="C60" s="14" t="n">
        <v>7320</v>
      </c>
      <c r="D60" s="36" t="n">
        <v>85.4924</v>
      </c>
      <c r="E60" s="12" t="n">
        <v>625804.37</v>
      </c>
      <c r="F60" s="11" t="s">
        <v>333</v>
      </c>
      <c r="G60" s="11"/>
    </row>
    <row r="61" customFormat="false" ht="15" hidden="false" customHeight="false" outlineLevel="0" collapsed="false">
      <c r="A61" s="30" t="n">
        <v>45852</v>
      </c>
      <c r="B61" s="11" t="s">
        <v>542</v>
      </c>
      <c r="C61" s="14" t="n">
        <v>4840</v>
      </c>
      <c r="D61" s="36" t="n">
        <v>85.4924</v>
      </c>
      <c r="E61" s="12" t="n">
        <v>413783.22</v>
      </c>
      <c r="F61" s="11" t="s">
        <v>335</v>
      </c>
      <c r="G61" s="11"/>
    </row>
    <row r="62" customFormat="false" ht="15" hidden="false" customHeight="false" outlineLevel="0" collapsed="false">
      <c r="A62" s="30" t="n">
        <v>45853</v>
      </c>
      <c r="B62" s="11" t="s">
        <v>542</v>
      </c>
      <c r="C62" s="14" t="n">
        <v>3070</v>
      </c>
      <c r="D62" s="36" t="n">
        <v>85.3026</v>
      </c>
      <c r="E62" s="12" t="n">
        <v>261878.98</v>
      </c>
      <c r="F62" s="11" t="s">
        <v>340</v>
      </c>
      <c r="G62" s="11"/>
    </row>
    <row r="63" customFormat="false" ht="15" hidden="false" customHeight="false" outlineLevel="0" collapsed="false">
      <c r="A63" s="30" t="n">
        <v>45859</v>
      </c>
      <c r="B63" s="11" t="s">
        <v>542</v>
      </c>
      <c r="C63" s="14" t="n">
        <v>40710</v>
      </c>
      <c r="D63" s="36" t="n">
        <v>85.193</v>
      </c>
      <c r="E63" s="12" t="n">
        <v>3468207.03</v>
      </c>
      <c r="F63" s="11" t="s">
        <v>336</v>
      </c>
      <c r="G63" s="11"/>
    </row>
    <row r="64" customFormat="false" ht="15" hidden="false" customHeight="false" outlineLevel="0" collapsed="false">
      <c r="A64" s="30" t="n">
        <v>45867</v>
      </c>
      <c r="B64" s="11" t="s">
        <v>542</v>
      </c>
      <c r="C64" s="14" t="n">
        <v>8140</v>
      </c>
      <c r="D64" s="36" t="n">
        <v>85.1585</v>
      </c>
      <c r="E64" s="12" t="n">
        <v>693190.19</v>
      </c>
      <c r="F64" s="11" t="s">
        <v>326</v>
      </c>
      <c r="G64" s="11"/>
    </row>
    <row r="65" customFormat="false" ht="15" hidden="false" customHeight="false" outlineLevel="0" collapsed="false">
      <c r="A65" s="30" t="n">
        <v>45876</v>
      </c>
      <c r="B65" s="11" t="s">
        <v>542</v>
      </c>
      <c r="C65" s="14" t="n">
        <v>3660</v>
      </c>
      <c r="D65" s="36" t="n">
        <v>85.4747</v>
      </c>
      <c r="E65" s="12" t="n">
        <v>312837.4</v>
      </c>
      <c r="F65" s="11" t="s">
        <v>346</v>
      </c>
      <c r="G65" s="11"/>
    </row>
    <row r="66" customFormat="false" ht="15" hidden="false" customHeight="false" outlineLevel="0" collapsed="false">
      <c r="A66" s="30" t="n">
        <v>45877</v>
      </c>
      <c r="B66" s="11" t="s">
        <v>542</v>
      </c>
      <c r="C66" s="14" t="n">
        <v>7320</v>
      </c>
      <c r="D66" s="36" t="n">
        <v>85.5371</v>
      </c>
      <c r="E66" s="12" t="n">
        <v>626131.57</v>
      </c>
      <c r="F66" s="11" t="s">
        <v>342</v>
      </c>
      <c r="G66" s="11"/>
    </row>
    <row r="67" customFormat="false" ht="15" hidden="false" customHeight="false" outlineLevel="0" collapsed="false">
      <c r="A67" s="30" t="n">
        <v>45877</v>
      </c>
      <c r="B67" s="11" t="s">
        <v>542</v>
      </c>
      <c r="C67" s="14" t="n">
        <v>4370</v>
      </c>
      <c r="D67" s="36" t="n">
        <v>85.5371</v>
      </c>
      <c r="E67" s="12" t="n">
        <v>373797.13</v>
      </c>
      <c r="F67" s="11" t="s">
        <v>345</v>
      </c>
      <c r="G67" s="11"/>
    </row>
    <row r="68" customFormat="false" ht="15" hidden="false" customHeight="false" outlineLevel="0" collapsed="false">
      <c r="A68" s="30" t="n">
        <v>45880</v>
      </c>
      <c r="B68" s="11" t="s">
        <v>542</v>
      </c>
      <c r="C68" s="14" t="n">
        <v>4840</v>
      </c>
      <c r="D68" s="36" t="n">
        <v>85.5163</v>
      </c>
      <c r="E68" s="12" t="n">
        <v>413898.89</v>
      </c>
      <c r="F68" s="11" t="s">
        <v>344</v>
      </c>
      <c r="G68" s="11"/>
    </row>
    <row r="69" customFormat="false" ht="15" hidden="false" customHeight="false" outlineLevel="0" collapsed="false">
      <c r="A69" s="30" t="n">
        <v>45880</v>
      </c>
      <c r="B69" s="11" t="s">
        <v>542</v>
      </c>
      <c r="C69" s="14" t="n">
        <v>8730</v>
      </c>
      <c r="D69" s="36" t="n">
        <v>85.5163</v>
      </c>
      <c r="E69" s="12" t="n">
        <v>746557.3</v>
      </c>
      <c r="F69" s="11" t="s">
        <v>347</v>
      </c>
      <c r="G69" s="11"/>
    </row>
    <row r="70" customFormat="false" ht="15" hidden="false" customHeight="false" outlineLevel="0" collapsed="false">
      <c r="A70" s="30" t="n">
        <v>45882</v>
      </c>
      <c r="B70" s="11" t="s">
        <v>542</v>
      </c>
      <c r="C70" s="14" t="n">
        <v>6370</v>
      </c>
      <c r="D70" s="36" t="n">
        <v>85.4648</v>
      </c>
      <c r="E70" s="12" t="n">
        <v>544410.78</v>
      </c>
      <c r="F70" s="11" t="s">
        <v>349</v>
      </c>
      <c r="G70" s="11"/>
    </row>
    <row r="71" customFormat="false" ht="15" hidden="false" customHeight="false" outlineLevel="0" collapsed="false">
      <c r="A71" s="30" t="n">
        <v>45883</v>
      </c>
      <c r="B71" s="11" t="s">
        <v>542</v>
      </c>
      <c r="C71" s="14" t="n">
        <v>3070</v>
      </c>
      <c r="D71" s="36" t="n">
        <v>85.609</v>
      </c>
      <c r="E71" s="12" t="n">
        <v>262819.63</v>
      </c>
      <c r="F71" s="11" t="s">
        <v>348</v>
      </c>
      <c r="G71" s="11"/>
    </row>
    <row r="72" customFormat="false" ht="15" hidden="false" customHeight="false" outlineLevel="0" collapsed="false">
      <c r="A72" s="30" t="n">
        <v>45894</v>
      </c>
      <c r="B72" s="11" t="s">
        <v>542</v>
      </c>
      <c r="C72" s="14" t="n">
        <v>8140</v>
      </c>
      <c r="D72" s="36" t="n">
        <v>85.9125</v>
      </c>
      <c r="E72" s="12" t="n">
        <v>699327.75</v>
      </c>
      <c r="F72" s="11" t="s">
        <v>334</v>
      </c>
      <c r="G72" s="11"/>
    </row>
    <row r="73" customFormat="false" ht="15" hidden="false" customHeight="false" outlineLevel="0" collapsed="false">
      <c r="A73" s="30" t="n">
        <v>45908</v>
      </c>
      <c r="B73" s="11" t="s">
        <v>542</v>
      </c>
      <c r="C73" s="14" t="n">
        <v>8140</v>
      </c>
      <c r="D73" s="36" t="n">
        <v>84.4522</v>
      </c>
      <c r="E73" s="12" t="n">
        <v>687440.91</v>
      </c>
      <c r="F73" s="11" t="s">
        <v>343</v>
      </c>
      <c r="G73" s="11"/>
    </row>
    <row r="74" customFormat="false" ht="15" hidden="false" customHeight="false" outlineLevel="0" collapsed="false">
      <c r="A74" s="30" t="n">
        <v>45908</v>
      </c>
      <c r="B74" s="11" t="s">
        <v>542</v>
      </c>
      <c r="C74" s="14" t="n">
        <v>3660</v>
      </c>
      <c r="D74" s="36" t="n">
        <v>84.4522</v>
      </c>
      <c r="E74" s="12" t="n">
        <v>309095.05</v>
      </c>
      <c r="F74" s="11" t="s">
        <v>354</v>
      </c>
      <c r="G74" s="11"/>
    </row>
    <row r="75" customFormat="false" ht="15" hidden="false" customHeight="false" outlineLevel="0" collapsed="false">
      <c r="A75" s="30" t="n">
        <v>45908</v>
      </c>
      <c r="B75" s="11" t="s">
        <v>542</v>
      </c>
      <c r="C75" s="14" t="n">
        <v>3070</v>
      </c>
      <c r="D75" s="36" t="n">
        <v>84.4522</v>
      </c>
      <c r="E75" s="12" t="n">
        <v>259268.25</v>
      </c>
      <c r="F75" s="11" t="s">
        <v>356</v>
      </c>
      <c r="G75" s="11"/>
    </row>
    <row r="76" customFormat="false" ht="15" hidden="false" customHeight="false" outlineLevel="0" collapsed="false">
      <c r="A76" s="30" t="n">
        <v>45912</v>
      </c>
      <c r="B76" s="11" t="s">
        <v>542</v>
      </c>
      <c r="C76" s="14" t="n">
        <v>6140</v>
      </c>
      <c r="D76" s="36" t="n">
        <v>85.0936</v>
      </c>
      <c r="E76" s="12" t="n">
        <v>522474.7</v>
      </c>
      <c r="F76" s="11" t="s">
        <v>357</v>
      </c>
      <c r="G76" s="11"/>
    </row>
    <row r="77" customFormat="false" ht="15" hidden="false" customHeight="false" outlineLevel="0" collapsed="false">
      <c r="A77" s="30" t="n">
        <v>45915</v>
      </c>
      <c r="B77" s="11" t="s">
        <v>542</v>
      </c>
      <c r="C77" s="14" t="n">
        <v>7320</v>
      </c>
      <c r="D77" s="36" t="n">
        <v>85.0485</v>
      </c>
      <c r="E77" s="12" t="n">
        <v>622555.02</v>
      </c>
      <c r="F77" s="11" t="s">
        <v>350</v>
      </c>
      <c r="G77" s="11"/>
    </row>
    <row r="78" customFormat="false" ht="15" hidden="false" customHeight="false" outlineLevel="0" collapsed="false">
      <c r="A78" s="30" t="n">
        <v>45915</v>
      </c>
      <c r="B78" s="11" t="s">
        <v>542</v>
      </c>
      <c r="C78" s="14" t="n">
        <v>4840</v>
      </c>
      <c r="D78" s="36" t="n">
        <v>85.0485</v>
      </c>
      <c r="E78" s="12" t="n">
        <v>411634.74</v>
      </c>
      <c r="F78" s="11" t="s">
        <v>352</v>
      </c>
      <c r="G78" s="11"/>
    </row>
    <row r="79" customFormat="false" ht="15" hidden="false" customHeight="false" outlineLevel="0" collapsed="false">
      <c r="A79" s="30" t="n">
        <v>45915</v>
      </c>
      <c r="B79" s="11" t="s">
        <v>542</v>
      </c>
      <c r="C79" s="14" t="n">
        <v>4370</v>
      </c>
      <c r="D79" s="36" t="n">
        <v>85.0485</v>
      </c>
      <c r="E79" s="12" t="n">
        <v>371661.95</v>
      </c>
      <c r="F79" s="11" t="s">
        <v>353</v>
      </c>
      <c r="G79" s="11"/>
    </row>
    <row r="80" customFormat="false" ht="15" hidden="false" customHeight="false" outlineLevel="0" collapsed="false">
      <c r="A80" s="30" t="n">
        <v>45915</v>
      </c>
      <c r="B80" s="11" t="s">
        <v>542</v>
      </c>
      <c r="C80" s="14" t="n">
        <v>8730</v>
      </c>
      <c r="D80" s="36" t="n">
        <v>85.0485</v>
      </c>
      <c r="E80" s="12" t="n">
        <v>742473.41</v>
      </c>
      <c r="F80" s="11" t="s">
        <v>355</v>
      </c>
      <c r="G80" s="11"/>
    </row>
    <row r="81" customFormat="false" ht="15" hidden="false" customHeight="false" outlineLevel="0" collapsed="false">
      <c r="A81" s="30" t="n">
        <v>45915</v>
      </c>
      <c r="B81" s="11" t="s">
        <v>542</v>
      </c>
      <c r="C81" s="14" t="n">
        <v>6370</v>
      </c>
      <c r="D81" s="36" t="n">
        <v>85.0485</v>
      </c>
      <c r="E81" s="12" t="n">
        <v>541758.95</v>
      </c>
      <c r="F81" s="11" t="s">
        <v>358</v>
      </c>
      <c r="G81" s="11"/>
    </row>
    <row r="82" customFormat="false" ht="15" hidden="false" customHeight="false" outlineLevel="0" collapsed="false">
      <c r="A82" s="30" t="n">
        <v>45936</v>
      </c>
      <c r="B82" s="11" t="s">
        <v>542</v>
      </c>
      <c r="C82" s="14" t="n">
        <v>3660</v>
      </c>
      <c r="D82" s="36" t="n">
        <v>84.9</v>
      </c>
      <c r="E82" s="12" t="n">
        <v>310734</v>
      </c>
      <c r="F82" s="11" t="s">
        <v>363</v>
      </c>
      <c r="G82" s="11"/>
    </row>
    <row r="83" customFormat="false" ht="15" hidden="false" customHeight="false" outlineLevel="0" collapsed="false">
      <c r="A83" s="30" t="n">
        <v>45936</v>
      </c>
      <c r="B83" s="11" t="s">
        <v>542</v>
      </c>
      <c r="C83" s="14" t="n">
        <v>3070</v>
      </c>
      <c r="D83" s="36" t="n">
        <v>84.9</v>
      </c>
      <c r="E83" s="12" t="n">
        <v>260643</v>
      </c>
      <c r="F83" s="11" t="s">
        <v>365</v>
      </c>
      <c r="G83" s="11"/>
    </row>
    <row r="84" customFormat="false" ht="15" hidden="false" customHeight="false" outlineLevel="0" collapsed="false">
      <c r="A84" s="30" t="n">
        <v>45938</v>
      </c>
      <c r="B84" s="11" t="s">
        <v>542</v>
      </c>
      <c r="C84" s="14" t="n">
        <v>4370</v>
      </c>
      <c r="D84" s="36" t="n">
        <v>85.1994</v>
      </c>
      <c r="E84" s="12" t="n">
        <v>372321.38</v>
      </c>
      <c r="F84" s="11" t="s">
        <v>362</v>
      </c>
      <c r="G84" s="11"/>
    </row>
    <row r="85" customFormat="false" ht="15" hidden="false" customHeight="false" outlineLevel="0" collapsed="false">
      <c r="A85" s="30" t="n">
        <v>45943</v>
      </c>
      <c r="B85" s="11" t="s">
        <v>542</v>
      </c>
      <c r="C85" s="14" t="n">
        <v>7320</v>
      </c>
      <c r="D85" s="36" t="n">
        <v>85.4559</v>
      </c>
      <c r="E85" s="12" t="n">
        <v>625537.19</v>
      </c>
      <c r="F85" s="11" t="s">
        <v>359</v>
      </c>
      <c r="G85" s="11"/>
    </row>
    <row r="86" customFormat="false" ht="15" hidden="false" customHeight="false" outlineLevel="0" collapsed="false">
      <c r="A86" s="30" t="n">
        <v>45943</v>
      </c>
      <c r="B86" s="11" t="s">
        <v>542</v>
      </c>
      <c r="C86" s="14" t="n">
        <v>4840</v>
      </c>
      <c r="D86" s="36" t="n">
        <v>85.4559</v>
      </c>
      <c r="E86" s="12" t="n">
        <v>413606.56</v>
      </c>
      <c r="F86" s="11" t="s">
        <v>361</v>
      </c>
      <c r="G86" s="11"/>
    </row>
    <row r="87" customFormat="false" ht="15" hidden="false" customHeight="false" outlineLevel="0" collapsed="false">
      <c r="A87" s="30" t="n">
        <v>45943</v>
      </c>
      <c r="B87" s="11" t="s">
        <v>542</v>
      </c>
      <c r="C87" s="14" t="n">
        <v>8730</v>
      </c>
      <c r="D87" s="36" t="n">
        <v>85.4559</v>
      </c>
      <c r="E87" s="12" t="n">
        <v>746030.01</v>
      </c>
      <c r="F87" s="11" t="s">
        <v>364</v>
      </c>
      <c r="G87" s="11"/>
    </row>
    <row r="88" customFormat="false" ht="15" hidden="false" customHeight="false" outlineLevel="0" collapsed="false">
      <c r="A88" s="30" t="n">
        <v>45943</v>
      </c>
      <c r="B88" s="11" t="s">
        <v>542</v>
      </c>
      <c r="C88" s="14" t="n">
        <v>6140</v>
      </c>
      <c r="D88" s="36" t="n">
        <v>85.4559</v>
      </c>
      <c r="E88" s="12" t="n">
        <v>524699.23</v>
      </c>
      <c r="F88" s="11" t="s">
        <v>366</v>
      </c>
      <c r="G88" s="11"/>
    </row>
    <row r="89" customFormat="false" ht="15" hidden="false" customHeight="false" outlineLevel="0" collapsed="false">
      <c r="A89" s="30" t="n">
        <v>45943</v>
      </c>
      <c r="B89" s="11" t="s">
        <v>542</v>
      </c>
      <c r="C89" s="14" t="n">
        <v>6370</v>
      </c>
      <c r="D89" s="36" t="n">
        <v>85.4559</v>
      </c>
      <c r="E89" s="12" t="n">
        <v>544354.08</v>
      </c>
      <c r="F89" s="11" t="s">
        <v>367</v>
      </c>
      <c r="G89" s="11"/>
    </row>
    <row r="90" customFormat="false" ht="15" hidden="false" customHeight="false" outlineLevel="0" collapsed="false">
      <c r="A90" s="30" t="n">
        <v>45959</v>
      </c>
      <c r="B90" s="11" t="s">
        <v>542</v>
      </c>
      <c r="C90" s="14" t="n">
        <v>8140</v>
      </c>
      <c r="D90" s="36" t="n">
        <v>86.1054</v>
      </c>
      <c r="E90" s="12" t="n">
        <v>700897.96</v>
      </c>
      <c r="F90" s="11" t="s">
        <v>351</v>
      </c>
      <c r="G90" s="11"/>
    </row>
    <row r="91" customFormat="false" ht="15" hidden="false" customHeight="false" outlineLevel="0" collapsed="false">
      <c r="A91" s="30" t="n">
        <v>45971</v>
      </c>
      <c r="B91" s="11" t="s">
        <v>542</v>
      </c>
      <c r="C91" s="14" t="n">
        <v>7320</v>
      </c>
      <c r="D91" s="36" t="n">
        <v>85.8044</v>
      </c>
      <c r="E91" s="12" t="n">
        <v>628088.21</v>
      </c>
      <c r="F91" s="11" t="s">
        <v>368</v>
      </c>
      <c r="G91" s="11"/>
    </row>
    <row r="92" customFormat="false" ht="15" hidden="false" customHeight="false" outlineLevel="0" collapsed="false">
      <c r="A92" s="30" t="n">
        <v>45971</v>
      </c>
      <c r="B92" s="11" t="s">
        <v>542</v>
      </c>
      <c r="C92" s="14" t="n">
        <v>6140</v>
      </c>
      <c r="D92" s="36" t="n">
        <v>85.8044</v>
      </c>
      <c r="E92" s="12" t="n">
        <v>526839.02</v>
      </c>
      <c r="F92" s="11" t="s">
        <v>375</v>
      </c>
      <c r="G92" s="11"/>
    </row>
    <row r="93" customFormat="false" ht="15" hidden="false" customHeight="false" outlineLevel="0" collapsed="false">
      <c r="A93" s="30" t="n">
        <v>45971</v>
      </c>
      <c r="B93" s="11" t="s">
        <v>542</v>
      </c>
      <c r="C93" s="14" t="n">
        <v>6370</v>
      </c>
      <c r="D93" s="36" t="n">
        <v>85.8044</v>
      </c>
      <c r="E93" s="12" t="n">
        <v>546574.03</v>
      </c>
      <c r="F93" s="11" t="s">
        <v>376</v>
      </c>
      <c r="G93" s="11"/>
    </row>
    <row r="94" customFormat="false" ht="15" hidden="false" customHeight="false" outlineLevel="0" collapsed="false">
      <c r="A94" s="30" t="n">
        <v>45973</v>
      </c>
      <c r="B94" s="11" t="s">
        <v>542</v>
      </c>
      <c r="C94" s="14" t="n">
        <v>8730</v>
      </c>
      <c r="D94" s="36" t="n">
        <v>85.9529</v>
      </c>
      <c r="E94" s="12" t="n">
        <v>750368.82</v>
      </c>
      <c r="F94" s="11" t="s">
        <v>373</v>
      </c>
      <c r="G94" s="11"/>
    </row>
    <row r="95" customFormat="false" ht="15" hidden="false" customHeight="false" outlineLevel="0" collapsed="false">
      <c r="A95" s="30" t="n">
        <v>45978</v>
      </c>
      <c r="B95" s="11" t="s">
        <v>542</v>
      </c>
      <c r="C95" s="14" t="n">
        <v>4840</v>
      </c>
      <c r="D95" s="36" t="n">
        <v>86.0139</v>
      </c>
      <c r="E95" s="12" t="n">
        <v>416307.28</v>
      </c>
      <c r="F95" s="11" t="s">
        <v>370</v>
      </c>
      <c r="G95" s="11"/>
    </row>
    <row r="96" customFormat="false" ht="15" hidden="false" customHeight="false" outlineLevel="0" collapsed="false">
      <c r="A96" s="30" t="n">
        <v>45978</v>
      </c>
      <c r="B96" s="11" t="s">
        <v>542</v>
      </c>
      <c r="C96" s="14" t="n">
        <v>4370</v>
      </c>
      <c r="D96" s="36" t="n">
        <v>86.0139</v>
      </c>
      <c r="E96" s="12" t="n">
        <v>375880.74</v>
      </c>
      <c r="F96" s="11" t="s">
        <v>371</v>
      </c>
      <c r="G96" s="11"/>
    </row>
    <row r="97" customFormat="false" ht="15" hidden="false" customHeight="false" outlineLevel="0" collapsed="false">
      <c r="A97" s="30" t="n">
        <v>45978</v>
      </c>
      <c r="B97" s="11" t="s">
        <v>542</v>
      </c>
      <c r="C97" s="14" t="n">
        <v>3660</v>
      </c>
      <c r="D97" s="36" t="n">
        <v>86.0139</v>
      </c>
      <c r="E97" s="12" t="n">
        <v>314810.87</v>
      </c>
      <c r="F97" s="11" t="s">
        <v>372</v>
      </c>
      <c r="G97" s="11"/>
    </row>
    <row r="98" customFormat="false" ht="15" hidden="false" customHeight="false" outlineLevel="0" collapsed="false">
      <c r="A98" s="30" t="n">
        <v>45978</v>
      </c>
      <c r="B98" s="11" t="s">
        <v>542</v>
      </c>
      <c r="C98" s="14" t="n">
        <v>3070</v>
      </c>
      <c r="D98" s="36" t="n">
        <v>86.0139</v>
      </c>
      <c r="E98" s="12" t="n">
        <v>264062.67</v>
      </c>
      <c r="F98" s="11" t="s">
        <v>374</v>
      </c>
      <c r="G98" s="11"/>
    </row>
    <row r="99" customFormat="false" ht="15" hidden="false" customHeight="false" outlineLevel="0" collapsed="false">
      <c r="A99" s="30" t="n">
        <v>45985</v>
      </c>
      <c r="B99" s="11" t="s">
        <v>542</v>
      </c>
      <c r="C99" s="14" t="n">
        <v>8140</v>
      </c>
      <c r="D99" s="36" t="n">
        <v>86.2236</v>
      </c>
      <c r="E99" s="12" t="n">
        <v>701860.1</v>
      </c>
      <c r="F99" s="11" t="s">
        <v>360</v>
      </c>
      <c r="G99" s="11"/>
    </row>
    <row r="100" customFormat="false" ht="15" hidden="false" customHeight="false" outlineLevel="0" collapsed="false">
      <c r="A100" s="30" t="n">
        <v>45999</v>
      </c>
      <c r="B100" s="11" t="s">
        <v>542</v>
      </c>
      <c r="C100" s="14" t="n">
        <v>3660</v>
      </c>
      <c r="D100" s="36" t="n">
        <v>86.0707</v>
      </c>
      <c r="E100" s="12" t="n">
        <v>315018.76</v>
      </c>
      <c r="F100" s="11" t="s">
        <v>381</v>
      </c>
      <c r="G100" s="11"/>
    </row>
    <row r="101" customFormat="false" ht="15" hidden="false" customHeight="false" outlineLevel="0" collapsed="false">
      <c r="A101" s="30" t="n">
        <v>45999</v>
      </c>
      <c r="B101" s="11" t="s">
        <v>542</v>
      </c>
      <c r="C101" s="14" t="n">
        <v>8730</v>
      </c>
      <c r="D101" s="36" t="n">
        <v>86.0707</v>
      </c>
      <c r="E101" s="12" t="n">
        <v>751397.21</v>
      </c>
      <c r="F101" s="11" t="s">
        <v>382</v>
      </c>
      <c r="G101" s="11"/>
    </row>
    <row r="102" customFormat="false" ht="15" hidden="false" customHeight="false" outlineLevel="0" collapsed="false">
      <c r="A102" s="30" t="n">
        <v>45999</v>
      </c>
      <c r="B102" s="11" t="s">
        <v>542</v>
      </c>
      <c r="C102" s="14" t="n">
        <v>3070</v>
      </c>
      <c r="D102" s="36" t="n">
        <v>86.0707</v>
      </c>
      <c r="E102" s="12" t="n">
        <v>264237.05</v>
      </c>
      <c r="F102" s="11" t="s">
        <v>383</v>
      </c>
      <c r="G102" s="11"/>
    </row>
    <row r="103" customFormat="false" ht="15" hidden="false" customHeight="false" outlineLevel="0" collapsed="false">
      <c r="A103" s="30" t="n">
        <v>46000</v>
      </c>
      <c r="B103" s="11" t="s">
        <v>542</v>
      </c>
      <c r="C103" s="14" t="n">
        <v>6370</v>
      </c>
      <c r="D103" s="36" t="n">
        <v>86.3136</v>
      </c>
      <c r="E103" s="12" t="n">
        <v>549817.63</v>
      </c>
      <c r="F103" s="11" t="s">
        <v>385</v>
      </c>
      <c r="G103" s="11"/>
    </row>
    <row r="104" customFormat="false" ht="15" hidden="false" customHeight="false" outlineLevel="0" collapsed="false">
      <c r="A104" s="30" t="n">
        <v>46001</v>
      </c>
      <c r="B104" s="11" t="s">
        <v>542</v>
      </c>
      <c r="C104" s="14" t="n">
        <v>4840</v>
      </c>
      <c r="D104" s="36" t="n">
        <v>86.2227</v>
      </c>
      <c r="E104" s="12" t="n">
        <v>417317.87</v>
      </c>
      <c r="F104" s="11" t="s">
        <v>379</v>
      </c>
      <c r="G104" s="11"/>
    </row>
    <row r="105" customFormat="false" ht="15" hidden="false" customHeight="false" outlineLevel="0" collapsed="false">
      <c r="A105" s="30" t="n">
        <v>46002</v>
      </c>
      <c r="B105" s="11" t="s">
        <v>542</v>
      </c>
      <c r="C105" s="14" t="n">
        <v>7320</v>
      </c>
      <c r="D105" s="36" t="n">
        <v>85.9389</v>
      </c>
      <c r="E105" s="12" t="n">
        <v>629072.75</v>
      </c>
      <c r="F105" s="11" t="s">
        <v>377</v>
      </c>
      <c r="G105" s="11"/>
    </row>
    <row r="106" customFormat="false" ht="15" hidden="false" customHeight="false" outlineLevel="0" collapsed="false">
      <c r="A106" s="30" t="n">
        <v>46002</v>
      </c>
      <c r="B106" s="11" t="s">
        <v>542</v>
      </c>
      <c r="C106" s="14" t="n">
        <v>4370</v>
      </c>
      <c r="D106" s="36" t="n">
        <v>85.9389</v>
      </c>
      <c r="E106" s="12" t="n">
        <v>375552.99</v>
      </c>
      <c r="F106" s="11" t="s">
        <v>380</v>
      </c>
      <c r="G106" s="11"/>
    </row>
    <row r="107" customFormat="false" ht="15" hidden="false" customHeight="false" outlineLevel="0" collapsed="false">
      <c r="A107" s="30" t="n">
        <v>46006</v>
      </c>
      <c r="B107" s="11" t="s">
        <v>542</v>
      </c>
      <c r="C107" s="14" t="n">
        <v>8140</v>
      </c>
      <c r="D107" s="36" t="n">
        <v>85.8357</v>
      </c>
      <c r="E107" s="12" t="n">
        <v>698702.6</v>
      </c>
      <c r="F107" s="11" t="s">
        <v>369</v>
      </c>
      <c r="G107" s="11"/>
    </row>
    <row r="108" customFormat="false" ht="15" hidden="false" customHeight="false" outlineLevel="0" collapsed="false">
      <c r="A108" s="30" t="n">
        <v>46006</v>
      </c>
      <c r="B108" s="11" t="s">
        <v>542</v>
      </c>
      <c r="C108" s="14" t="n">
        <v>6140</v>
      </c>
      <c r="D108" s="36" t="n">
        <v>85.8357</v>
      </c>
      <c r="E108" s="12" t="n">
        <v>527031.2</v>
      </c>
      <c r="F108" s="11" t="s">
        <v>384</v>
      </c>
      <c r="G108" s="11"/>
    </row>
    <row r="109" customFormat="false" ht="15" hidden="false" customHeight="false" outlineLevel="0" collapsed="false">
      <c r="A109" s="30" t="n">
        <v>46029</v>
      </c>
      <c r="B109" s="11" t="s">
        <v>542</v>
      </c>
      <c r="C109" s="14" t="n">
        <v>8140</v>
      </c>
      <c r="D109" s="36" t="n">
        <v>86.3547</v>
      </c>
      <c r="E109" s="12" t="n">
        <v>702927.26</v>
      </c>
      <c r="F109" s="11" t="s">
        <v>378</v>
      </c>
      <c r="G109" s="11"/>
    </row>
    <row r="110" customFormat="false" ht="15" hidden="false" customHeight="false" outlineLevel="0" collapsed="false">
      <c r="A110" s="30" t="n">
        <v>46029</v>
      </c>
      <c r="B110" s="11" t="s">
        <v>542</v>
      </c>
      <c r="C110" s="14" t="n">
        <v>4630</v>
      </c>
      <c r="D110" s="36" t="n">
        <v>86.3547</v>
      </c>
      <c r="E110" s="12" t="n">
        <v>399822.26</v>
      </c>
      <c r="F110" s="11" t="s">
        <v>390</v>
      </c>
      <c r="G110" s="11"/>
    </row>
    <row r="111" customFormat="false" ht="15" hidden="false" customHeight="false" outlineLevel="0" collapsed="false">
      <c r="A111" s="30" t="n">
        <v>46029</v>
      </c>
      <c r="B111" s="11" t="s">
        <v>542</v>
      </c>
      <c r="C111" s="14" t="n">
        <v>3880</v>
      </c>
      <c r="D111" s="36" t="n">
        <v>86.3547</v>
      </c>
      <c r="E111" s="12" t="n">
        <v>335056.24</v>
      </c>
      <c r="F111" s="11" t="s">
        <v>391</v>
      </c>
      <c r="G111" s="11"/>
    </row>
    <row r="112" customFormat="false" ht="15" hidden="false" customHeight="false" outlineLevel="0" collapsed="false">
      <c r="A112" s="30" t="n">
        <v>46030</v>
      </c>
      <c r="B112" s="11" t="s">
        <v>542</v>
      </c>
      <c r="C112" s="14" t="n">
        <v>5130</v>
      </c>
      <c r="D112" s="36" t="n">
        <v>86.193</v>
      </c>
      <c r="E112" s="12" t="n">
        <v>442170.09</v>
      </c>
      <c r="F112" s="11" t="s">
        <v>388</v>
      </c>
      <c r="G112" s="11"/>
    </row>
    <row r="113" customFormat="false" ht="15" hidden="false" customHeight="false" outlineLevel="0" collapsed="false">
      <c r="A113" s="30" t="n">
        <v>46034</v>
      </c>
      <c r="B113" s="11" t="s">
        <v>542</v>
      </c>
      <c r="C113" s="14" t="n">
        <v>7760</v>
      </c>
      <c r="D113" s="36" t="n">
        <v>86.1826</v>
      </c>
      <c r="E113" s="12" t="n">
        <v>668776.98</v>
      </c>
      <c r="F113" s="11" t="s">
        <v>386</v>
      </c>
      <c r="G113" s="11"/>
    </row>
    <row r="114" customFormat="false" ht="15" hidden="false" customHeight="false" outlineLevel="0" collapsed="false">
      <c r="A114" s="30" t="n">
        <v>46034</v>
      </c>
      <c r="B114" s="11" t="s">
        <v>542</v>
      </c>
      <c r="C114" s="14" t="n">
        <v>9250</v>
      </c>
      <c r="D114" s="36" t="n">
        <v>86.1826</v>
      </c>
      <c r="E114" s="12" t="n">
        <v>797189.05</v>
      </c>
      <c r="F114" s="11" t="s">
        <v>392</v>
      </c>
      <c r="G114" s="11"/>
    </row>
    <row r="115" customFormat="false" ht="15" hidden="false" customHeight="false" outlineLevel="0" collapsed="false">
      <c r="A115" s="30" t="n">
        <v>46034</v>
      </c>
      <c r="B115" s="11" t="s">
        <v>542</v>
      </c>
      <c r="C115" s="14" t="n">
        <v>3250</v>
      </c>
      <c r="D115" s="36" t="n">
        <v>86.1826</v>
      </c>
      <c r="E115" s="12" t="n">
        <v>280093.45</v>
      </c>
      <c r="F115" s="11" t="s">
        <v>393</v>
      </c>
      <c r="G115" s="11"/>
    </row>
    <row r="116" customFormat="false" ht="15" hidden="false" customHeight="false" outlineLevel="0" collapsed="false">
      <c r="A116" s="30" t="n">
        <v>46034</v>
      </c>
      <c r="B116" s="11" t="s">
        <v>542</v>
      </c>
      <c r="C116" s="14" t="n">
        <v>6510</v>
      </c>
      <c r="D116" s="36" t="n">
        <v>86.1826</v>
      </c>
      <c r="E116" s="12" t="n">
        <v>561048.73</v>
      </c>
      <c r="F116" s="11" t="s">
        <v>394</v>
      </c>
      <c r="G116" s="11"/>
    </row>
    <row r="117" customFormat="false" ht="15" hidden="false" customHeight="false" outlineLevel="0" collapsed="false">
      <c r="A117" s="30" t="n">
        <v>46034</v>
      </c>
      <c r="B117" s="11" t="s">
        <v>542</v>
      </c>
      <c r="C117" s="14" t="n">
        <v>6750</v>
      </c>
      <c r="D117" s="36" t="n">
        <v>86.1826</v>
      </c>
      <c r="E117" s="12" t="n">
        <v>581732.55</v>
      </c>
      <c r="F117" s="11" t="s">
        <v>395</v>
      </c>
      <c r="G117" s="11"/>
    </row>
    <row r="118" customFormat="false" ht="15" hidden="false" customHeight="false" outlineLevel="0" collapsed="false">
      <c r="A118" s="30" t="n">
        <v>46043</v>
      </c>
      <c r="B118" s="11" t="s">
        <v>542</v>
      </c>
      <c r="C118" s="14" t="n">
        <v>55220</v>
      </c>
      <c r="D118" s="36" t="n">
        <v>86.479</v>
      </c>
      <c r="E118" s="12" t="n">
        <v>4775370.38</v>
      </c>
      <c r="F118" s="11" t="s">
        <v>389</v>
      </c>
      <c r="G118" s="11"/>
    </row>
    <row r="119" customFormat="false" ht="15" hidden="false" customHeight="false" outlineLevel="0" collapsed="false">
      <c r="A119" s="30" t="n">
        <v>46062</v>
      </c>
      <c r="B119" s="11" t="s">
        <v>542</v>
      </c>
      <c r="C119" s="14" t="n">
        <v>5130</v>
      </c>
      <c r="D119" s="36" t="n">
        <v>87.4464</v>
      </c>
      <c r="E119" s="12" t="n">
        <v>448600.03</v>
      </c>
      <c r="F119" s="11" t="s">
        <v>398</v>
      </c>
      <c r="G119" s="11"/>
    </row>
    <row r="120" customFormat="false" ht="15" hidden="false" customHeight="false" outlineLevel="0" collapsed="false">
      <c r="A120" s="30" t="n">
        <v>46062</v>
      </c>
      <c r="B120" s="11" t="s">
        <v>542</v>
      </c>
      <c r="C120" s="14" t="n">
        <v>4630</v>
      </c>
      <c r="D120" s="36" t="n">
        <v>87.4464</v>
      </c>
      <c r="E120" s="12" t="n">
        <v>404876.83</v>
      </c>
      <c r="F120" s="11" t="s">
        <v>399</v>
      </c>
      <c r="G120" s="11"/>
    </row>
    <row r="121" customFormat="false" ht="15" hidden="false" customHeight="false" outlineLevel="0" collapsed="false">
      <c r="A121" s="30" t="n">
        <v>46062</v>
      </c>
      <c r="B121" s="11" t="s">
        <v>542</v>
      </c>
      <c r="C121" s="14" t="n">
        <v>3880</v>
      </c>
      <c r="D121" s="36" t="n">
        <v>87.4464</v>
      </c>
      <c r="E121" s="12" t="n">
        <v>339292.03</v>
      </c>
      <c r="F121" s="11" t="s">
        <v>400</v>
      </c>
      <c r="G121" s="11"/>
    </row>
    <row r="122" customFormat="false" ht="15" hidden="false" customHeight="false" outlineLevel="0" collapsed="false">
      <c r="A122" s="30" t="n">
        <v>46062</v>
      </c>
      <c r="B122" s="11" t="s">
        <v>542</v>
      </c>
      <c r="C122" s="14" t="n">
        <v>3250</v>
      </c>
      <c r="D122" s="36" t="n">
        <v>87.4464</v>
      </c>
      <c r="E122" s="12" t="n">
        <v>284200.8</v>
      </c>
      <c r="F122" s="11" t="s">
        <v>402</v>
      </c>
      <c r="G122" s="11"/>
    </row>
    <row r="123" customFormat="false" ht="15" hidden="false" customHeight="false" outlineLevel="0" collapsed="false">
      <c r="A123" s="30" t="n">
        <v>46062</v>
      </c>
      <c r="B123" s="11" t="s">
        <v>542</v>
      </c>
      <c r="C123" s="14" t="n">
        <v>6750</v>
      </c>
      <c r="D123" s="36" t="n">
        <v>87.4464</v>
      </c>
      <c r="E123" s="12" t="n">
        <v>590263.2</v>
      </c>
      <c r="F123" s="11" t="s">
        <v>404</v>
      </c>
      <c r="G123" s="11"/>
    </row>
    <row r="124" customFormat="false" ht="15" hidden="false" customHeight="false" outlineLevel="0" collapsed="false">
      <c r="A124" s="30" t="n">
        <v>46066</v>
      </c>
      <c r="B124" s="11" t="s">
        <v>542</v>
      </c>
      <c r="C124" s="14" t="n">
        <v>6510</v>
      </c>
      <c r="D124" s="36" t="n">
        <v>87.5645</v>
      </c>
      <c r="E124" s="12" t="n">
        <v>570044.9</v>
      </c>
      <c r="F124" s="11" t="s">
        <v>403</v>
      </c>
      <c r="G124" s="11"/>
    </row>
    <row r="125" customFormat="false" ht="15" hidden="false" customHeight="false" outlineLevel="0" collapsed="false">
      <c r="A125" s="30" t="n">
        <v>46069</v>
      </c>
      <c r="B125" s="11" t="s">
        <v>542</v>
      </c>
      <c r="C125" s="14" t="n">
        <v>8630</v>
      </c>
      <c r="D125" s="36" t="n">
        <v>87.4626</v>
      </c>
      <c r="E125" s="12" t="n">
        <v>754802.24</v>
      </c>
      <c r="F125" s="11" t="s">
        <v>387</v>
      </c>
      <c r="G125" s="11"/>
    </row>
    <row r="126" customFormat="false" ht="15" hidden="false" customHeight="false" outlineLevel="0" collapsed="false">
      <c r="A126" s="30" t="n">
        <v>46069</v>
      </c>
      <c r="B126" s="11" t="s">
        <v>542</v>
      </c>
      <c r="C126" s="14" t="n">
        <v>7760</v>
      </c>
      <c r="D126" s="36" t="n">
        <v>87.4626</v>
      </c>
      <c r="E126" s="12" t="n">
        <v>678709.78</v>
      </c>
      <c r="F126" s="11" t="s">
        <v>396</v>
      </c>
      <c r="G126" s="11"/>
    </row>
    <row r="127" customFormat="false" ht="15" hidden="false" customHeight="false" outlineLevel="0" collapsed="false">
      <c r="A127" s="30" t="n">
        <v>46069</v>
      </c>
      <c r="B127" s="11" t="s">
        <v>542</v>
      </c>
      <c r="C127" s="14" t="n">
        <v>9250</v>
      </c>
      <c r="D127" s="36" t="n">
        <v>87.4626</v>
      </c>
      <c r="E127" s="12" t="n">
        <v>809029.05</v>
      </c>
      <c r="F127" s="11" t="s">
        <v>401</v>
      </c>
      <c r="G127" s="11"/>
    </row>
    <row r="128" customFormat="false" ht="15" hidden="false" customHeight="false" outlineLevel="0" collapsed="false">
      <c r="A128" s="30" t="n">
        <v>46090</v>
      </c>
      <c r="B128" s="11" t="s">
        <v>542</v>
      </c>
      <c r="C128" s="14" t="n">
        <v>7760</v>
      </c>
      <c r="D128" s="36" t="n">
        <v>87.7391</v>
      </c>
      <c r="E128" s="12" t="n">
        <v>680855.42</v>
      </c>
      <c r="F128" s="11" t="s">
        <v>405</v>
      </c>
      <c r="G128" s="11"/>
    </row>
    <row r="129" customFormat="false" ht="15" hidden="false" customHeight="false" outlineLevel="0" collapsed="false">
      <c r="A129" s="30" t="n">
        <v>46090</v>
      </c>
      <c r="B129" s="11" t="s">
        <v>542</v>
      </c>
      <c r="C129" s="14" t="n">
        <v>4630</v>
      </c>
      <c r="D129" s="36" t="n">
        <v>87.7391</v>
      </c>
      <c r="E129" s="12" t="n">
        <v>406232.03</v>
      </c>
      <c r="F129" s="11" t="s">
        <v>408</v>
      </c>
      <c r="G129" s="11"/>
    </row>
    <row r="130" customFormat="false" ht="15" hidden="false" customHeight="false" outlineLevel="0" collapsed="false">
      <c r="A130" s="30" t="n">
        <v>46090</v>
      </c>
      <c r="B130" s="11" t="s">
        <v>542</v>
      </c>
      <c r="C130" s="14" t="n">
        <v>9250</v>
      </c>
      <c r="D130" s="36" t="n">
        <v>87.7391</v>
      </c>
      <c r="E130" s="12" t="n">
        <v>811586.67</v>
      </c>
      <c r="F130" s="11" t="s">
        <v>410</v>
      </c>
      <c r="G130" s="11"/>
    </row>
    <row r="131" customFormat="false" ht="15" hidden="false" customHeight="false" outlineLevel="0" collapsed="false">
      <c r="A131" s="30" t="n">
        <v>46090</v>
      </c>
      <c r="B131" s="11" t="s">
        <v>542</v>
      </c>
      <c r="C131" s="14" t="n">
        <v>3250</v>
      </c>
      <c r="D131" s="36" t="n">
        <v>87.7391</v>
      </c>
      <c r="E131" s="12" t="n">
        <v>285152.07</v>
      </c>
      <c r="F131" s="11" t="s">
        <v>411</v>
      </c>
      <c r="G131" s="11"/>
    </row>
    <row r="132" customFormat="false" ht="15" hidden="false" customHeight="false" outlineLevel="0" collapsed="false">
      <c r="A132" s="30" t="n">
        <v>46090</v>
      </c>
      <c r="B132" s="11" t="s">
        <v>542</v>
      </c>
      <c r="C132" s="14" t="n">
        <v>6510</v>
      </c>
      <c r="D132" s="36" t="n">
        <v>87.7391</v>
      </c>
      <c r="E132" s="12" t="n">
        <v>571181.54</v>
      </c>
      <c r="F132" s="11" t="s">
        <v>412</v>
      </c>
      <c r="G132" s="11"/>
    </row>
    <row r="133" customFormat="false" ht="15" hidden="false" customHeight="false" outlineLevel="0" collapsed="false">
      <c r="A133" s="30" t="n">
        <v>46091</v>
      </c>
      <c r="B133" s="11" t="s">
        <v>542</v>
      </c>
      <c r="C133" s="14" t="n">
        <v>6750</v>
      </c>
      <c r="D133" s="36" t="n">
        <v>87.3371</v>
      </c>
      <c r="E133" s="12" t="n">
        <v>589525.43</v>
      </c>
      <c r="F133" s="11" t="s">
        <v>413</v>
      </c>
      <c r="G133" s="11"/>
    </row>
    <row r="134" customFormat="false" ht="15" hidden="false" customHeight="false" outlineLevel="0" collapsed="false">
      <c r="A134" s="30" t="n">
        <v>46092</v>
      </c>
      <c r="B134" s="11" t="s">
        <v>542</v>
      </c>
      <c r="C134" s="14" t="n">
        <v>3420</v>
      </c>
      <c r="D134" s="36" t="n">
        <v>87.4439</v>
      </c>
      <c r="E134" s="12" t="n">
        <v>299058.14</v>
      </c>
      <c r="F134" s="11" t="s">
        <v>414</v>
      </c>
      <c r="G134" s="11"/>
    </row>
    <row r="135" customFormat="false" ht="15" hidden="false" customHeight="false" outlineLevel="0" collapsed="false">
      <c r="A135" s="30" t="n">
        <v>46097</v>
      </c>
      <c r="B135" s="11" t="s">
        <v>542</v>
      </c>
      <c r="C135" s="14" t="n">
        <v>5130</v>
      </c>
      <c r="D135" s="36" t="n">
        <v>87.6089</v>
      </c>
      <c r="E135" s="12" t="n">
        <v>449433.66</v>
      </c>
      <c r="F135" s="11" t="s">
        <v>407</v>
      </c>
      <c r="G135" s="11"/>
    </row>
    <row r="136" customFormat="false" ht="15" hidden="false" customHeight="false" outlineLevel="0" collapsed="false">
      <c r="A136" s="30" t="n">
        <v>46097</v>
      </c>
      <c r="B136" s="11" t="s">
        <v>542</v>
      </c>
      <c r="C136" s="14" t="n">
        <v>3880</v>
      </c>
      <c r="D136" s="36" t="n">
        <v>87.6089</v>
      </c>
      <c r="E136" s="12" t="n">
        <v>339922.53</v>
      </c>
      <c r="F136" s="11" t="s">
        <v>409</v>
      </c>
      <c r="G136" s="11"/>
    </row>
    <row r="137" customFormat="false" ht="15" hidden="false" customHeight="false" outlineLevel="0" collapsed="false">
      <c r="A137" s="30" t="n">
        <v>46111</v>
      </c>
      <c r="B137" s="11" t="s">
        <v>542</v>
      </c>
      <c r="C137" s="14" t="n">
        <v>8630</v>
      </c>
      <c r="D137" s="36" t="n">
        <v>87.7175</v>
      </c>
      <c r="E137" s="12" t="n">
        <v>757002.03</v>
      </c>
      <c r="F137" s="11" t="s">
        <v>397</v>
      </c>
      <c r="G137" s="11"/>
    </row>
    <row r="138" customFormat="false" ht="15" hidden="false" customHeight="false" outlineLevel="0" collapsed="false">
      <c r="A138" s="30" t="n">
        <v>46118</v>
      </c>
      <c r="B138" s="11" t="s">
        <v>542</v>
      </c>
      <c r="C138" s="14" t="n">
        <v>6750</v>
      </c>
      <c r="D138" s="36" t="n">
        <v>87.9138</v>
      </c>
      <c r="E138" s="12" t="n">
        <v>593418.15</v>
      </c>
      <c r="F138" s="11" t="s">
        <v>422</v>
      </c>
      <c r="G138" s="11"/>
    </row>
    <row r="139" customFormat="false" ht="15" hidden="false" customHeight="false" outlineLevel="0" collapsed="false">
      <c r="A139" s="30" t="n">
        <v>46119</v>
      </c>
      <c r="B139" s="11" t="s">
        <v>542</v>
      </c>
      <c r="C139" s="14" t="n">
        <v>3250</v>
      </c>
      <c r="D139" s="36" t="n">
        <v>88.0992</v>
      </c>
      <c r="E139" s="12" t="n">
        <v>286322.4</v>
      </c>
      <c r="F139" s="11" t="s">
        <v>420</v>
      </c>
      <c r="G139" s="11"/>
    </row>
    <row r="140" customFormat="false" ht="15" hidden="false" customHeight="false" outlineLevel="0" collapsed="false">
      <c r="A140" s="30" t="n">
        <v>46121</v>
      </c>
      <c r="B140" s="11" t="s">
        <v>542</v>
      </c>
      <c r="C140" s="14" t="n">
        <v>3880</v>
      </c>
      <c r="D140" s="36" t="n">
        <v>88.0718</v>
      </c>
      <c r="E140" s="12" t="n">
        <v>341718.58</v>
      </c>
      <c r="F140" s="11" t="s">
        <v>418</v>
      </c>
      <c r="G140" s="11"/>
    </row>
    <row r="141" customFormat="false" ht="15" hidden="false" customHeight="false" outlineLevel="0" collapsed="false">
      <c r="A141" s="30" t="n">
        <v>46121</v>
      </c>
      <c r="B141" s="11" t="s">
        <v>542</v>
      </c>
      <c r="C141" s="14" t="n">
        <v>9250</v>
      </c>
      <c r="D141" s="36" t="n">
        <v>88.0718</v>
      </c>
      <c r="E141" s="12" t="n">
        <v>814664.15</v>
      </c>
      <c r="F141" s="11" t="s">
        <v>419</v>
      </c>
      <c r="G141" s="11"/>
    </row>
    <row r="142" customFormat="false" ht="15" hidden="false" customHeight="false" outlineLevel="0" collapsed="false">
      <c r="A142" s="30" t="n">
        <v>46122</v>
      </c>
      <c r="B142" s="11" t="s">
        <v>542</v>
      </c>
      <c r="C142" s="14" t="n">
        <v>6510</v>
      </c>
      <c r="D142" s="36" t="n">
        <v>87.9354</v>
      </c>
      <c r="E142" s="12" t="n">
        <v>572459.45</v>
      </c>
      <c r="F142" s="11" t="s">
        <v>421</v>
      </c>
      <c r="G142" s="11"/>
    </row>
    <row r="143" customFormat="false" ht="15" hidden="false" customHeight="false" outlineLevel="0" collapsed="false">
      <c r="A143" s="30" t="n">
        <v>46122</v>
      </c>
      <c r="B143" s="11" t="s">
        <v>542</v>
      </c>
      <c r="C143" s="14" t="n">
        <v>3420</v>
      </c>
      <c r="D143" s="36" t="n">
        <v>87.9354</v>
      </c>
      <c r="E143" s="12" t="n">
        <v>300739.07</v>
      </c>
      <c r="F143" s="11" t="s">
        <v>423</v>
      </c>
      <c r="G143" s="11"/>
    </row>
    <row r="144" customFormat="false" ht="15" hidden="false" customHeight="false" outlineLevel="0" collapsed="false">
      <c r="A144" s="30" t="n">
        <v>46125</v>
      </c>
      <c r="B144" s="11" t="s">
        <v>542</v>
      </c>
      <c r="C144" s="14" t="n">
        <v>8630</v>
      </c>
      <c r="D144" s="36" t="n">
        <v>87.9597</v>
      </c>
      <c r="E144" s="12" t="n">
        <v>759092.21</v>
      </c>
      <c r="F144" s="11" t="s">
        <v>406</v>
      </c>
      <c r="G144" s="11"/>
    </row>
    <row r="145" customFormat="false" ht="15" hidden="false" customHeight="false" outlineLevel="0" collapsed="false">
      <c r="A145" s="30" t="n">
        <v>46125</v>
      </c>
      <c r="B145" s="11" t="s">
        <v>542</v>
      </c>
      <c r="C145" s="14" t="n">
        <v>7760</v>
      </c>
      <c r="D145" s="36" t="n">
        <v>87.9597</v>
      </c>
      <c r="E145" s="12" t="n">
        <v>682567.27</v>
      </c>
      <c r="F145" s="11" t="s">
        <v>415</v>
      </c>
      <c r="G145" s="11"/>
    </row>
    <row r="146" customFormat="false" ht="15" hidden="false" customHeight="false" outlineLevel="0" collapsed="false">
      <c r="A146" s="30" t="n">
        <v>46125</v>
      </c>
      <c r="B146" s="11" t="s">
        <v>542</v>
      </c>
      <c r="C146" s="14" t="n">
        <v>4630</v>
      </c>
      <c r="D146" s="36" t="n">
        <v>87.9597</v>
      </c>
      <c r="E146" s="12" t="n">
        <v>407253.41</v>
      </c>
      <c r="F146" s="11" t="s">
        <v>417</v>
      </c>
      <c r="G146" s="11"/>
    </row>
    <row r="147" customFormat="false" ht="15" hidden="false" customHeight="false" outlineLevel="0" collapsed="false">
      <c r="A147" s="30" t="n">
        <v>46149</v>
      </c>
      <c r="B147" s="11" t="s">
        <v>542</v>
      </c>
      <c r="C147" s="14" t="n">
        <v>4630</v>
      </c>
      <c r="D147" s="36" t="n">
        <v>88.159</v>
      </c>
      <c r="E147" s="12" t="n">
        <v>408176.17</v>
      </c>
      <c r="F147" s="11" t="s">
        <v>426</v>
      </c>
      <c r="G147" s="11"/>
    </row>
    <row r="148" customFormat="false" ht="15" hidden="false" customHeight="false" outlineLevel="0" collapsed="false">
      <c r="A148" s="30" t="n">
        <v>46150</v>
      </c>
      <c r="B148" s="11" t="s">
        <v>542</v>
      </c>
      <c r="C148" s="14" t="n">
        <v>7760</v>
      </c>
      <c r="D148" s="36" t="n">
        <v>88.1225</v>
      </c>
      <c r="E148" s="12" t="n">
        <v>683830.6</v>
      </c>
      <c r="F148" s="11" t="s">
        <v>424</v>
      </c>
      <c r="G148" s="11"/>
    </row>
    <row r="149" customFormat="false" ht="15" hidden="false" customHeight="false" outlineLevel="0" collapsed="false">
      <c r="A149" s="30" t="n">
        <v>46153</v>
      </c>
      <c r="B149" s="11" t="s">
        <v>542</v>
      </c>
      <c r="C149" s="14" t="n">
        <v>3880</v>
      </c>
      <c r="D149" s="36" t="n">
        <v>87.9745</v>
      </c>
      <c r="E149" s="12" t="n">
        <v>341341.06</v>
      </c>
      <c r="F149" s="11" t="s">
        <v>427</v>
      </c>
      <c r="G149" s="11"/>
    </row>
    <row r="150" customFormat="false" ht="15" hidden="false" customHeight="false" outlineLevel="0" collapsed="false">
      <c r="A150" s="30" t="n">
        <v>46153</v>
      </c>
      <c r="B150" s="11" t="s">
        <v>542</v>
      </c>
      <c r="C150" s="14" t="n">
        <v>9250</v>
      </c>
      <c r="D150" s="36" t="n">
        <v>87.9745</v>
      </c>
      <c r="E150" s="12" t="n">
        <v>813764.12</v>
      </c>
      <c r="F150" s="11" t="s">
        <v>428</v>
      </c>
      <c r="G150" s="11"/>
    </row>
    <row r="151" customFormat="false" ht="15" hidden="false" customHeight="false" outlineLevel="0" collapsed="false">
      <c r="A151" s="30" t="n">
        <v>46153</v>
      </c>
      <c r="B151" s="11" t="s">
        <v>542</v>
      </c>
      <c r="C151" s="14" t="n">
        <v>3250</v>
      </c>
      <c r="D151" s="36" t="n">
        <v>87.9745</v>
      </c>
      <c r="E151" s="12" t="n">
        <v>285917.12</v>
      </c>
      <c r="F151" s="11" t="s">
        <v>429</v>
      </c>
      <c r="G151" s="11"/>
    </row>
    <row r="152" customFormat="false" ht="15" hidden="false" customHeight="false" outlineLevel="0" collapsed="false">
      <c r="A152" s="30" t="n">
        <v>46153</v>
      </c>
      <c r="B152" s="11" t="s">
        <v>542</v>
      </c>
      <c r="C152" s="14" t="n">
        <v>6750</v>
      </c>
      <c r="D152" s="36" t="n">
        <v>87.9745</v>
      </c>
      <c r="E152" s="12" t="n">
        <v>593827.88</v>
      </c>
      <c r="F152" s="11" t="s">
        <v>431</v>
      </c>
      <c r="G152" s="11"/>
    </row>
    <row r="153" customFormat="false" ht="15" hidden="false" customHeight="false" outlineLevel="0" collapsed="false">
      <c r="A153" s="30" t="n">
        <v>46155</v>
      </c>
      <c r="B153" s="11" t="s">
        <v>542</v>
      </c>
      <c r="C153" s="14" t="n">
        <v>3420</v>
      </c>
      <c r="D153" s="36" t="n">
        <v>87.9295</v>
      </c>
      <c r="E153" s="12" t="n">
        <v>300718.89</v>
      </c>
      <c r="F153" s="11" t="s">
        <v>432</v>
      </c>
      <c r="G153" s="11"/>
    </row>
    <row r="154" customFormat="false" ht="15" hidden="false" customHeight="false" outlineLevel="0" collapsed="false">
      <c r="A154" s="30" t="n">
        <v>46156</v>
      </c>
      <c r="B154" s="11" t="s">
        <v>542</v>
      </c>
      <c r="C154" s="14" t="n">
        <v>6510</v>
      </c>
      <c r="D154" s="36" t="n">
        <v>88.0709</v>
      </c>
      <c r="E154" s="12" t="n">
        <v>573341.56</v>
      </c>
      <c r="F154" s="11" t="s">
        <v>430</v>
      </c>
      <c r="G154" s="11"/>
    </row>
    <row r="155" customFormat="false" ht="15" hidden="false" customHeight="false" outlineLevel="0" collapsed="false">
      <c r="A155" s="30" t="n">
        <v>46164</v>
      </c>
      <c r="B155" s="11" t="s">
        <v>542</v>
      </c>
      <c r="C155" s="14" t="n">
        <v>8630</v>
      </c>
      <c r="D155" s="36" t="n">
        <v>88.7796</v>
      </c>
      <c r="E155" s="12" t="n">
        <v>766167.95</v>
      </c>
      <c r="F155" s="11" t="s">
        <v>416</v>
      </c>
      <c r="G155" s="11"/>
    </row>
    <row r="156" customFormat="false" ht="15" hidden="false" customHeight="false" outlineLevel="0" collapsed="false">
      <c r="A156" s="30" t="n">
        <v>46181</v>
      </c>
      <c r="B156" s="11" t="s">
        <v>542</v>
      </c>
      <c r="C156" s="14" t="n">
        <v>7760</v>
      </c>
      <c r="D156" s="36" t="n">
        <v>87.8772</v>
      </c>
      <c r="E156" s="12" t="n">
        <v>681927.07</v>
      </c>
      <c r="F156" s="11" t="s">
        <v>433</v>
      </c>
      <c r="G156" s="11"/>
    </row>
    <row r="157" customFormat="false" ht="15" hidden="false" customHeight="false" outlineLevel="0" collapsed="false">
      <c r="A157" s="30" t="n">
        <v>46181</v>
      </c>
      <c r="B157" s="11" t="s">
        <v>542</v>
      </c>
      <c r="C157" s="14" t="n">
        <v>3880</v>
      </c>
      <c r="D157" s="36" t="n">
        <v>87.8772</v>
      </c>
      <c r="E157" s="12" t="n">
        <v>340963.54</v>
      </c>
      <c r="F157" s="11" t="s">
        <v>436</v>
      </c>
      <c r="G157" s="11"/>
    </row>
    <row r="158" customFormat="false" ht="15" hidden="false" customHeight="false" outlineLevel="0" collapsed="false">
      <c r="A158" s="30" t="n">
        <v>46181</v>
      </c>
      <c r="B158" s="11" t="s">
        <v>542</v>
      </c>
      <c r="C158" s="14" t="n">
        <v>3250</v>
      </c>
      <c r="D158" s="36" t="n">
        <v>87.8772</v>
      </c>
      <c r="E158" s="12" t="n">
        <v>285600.9</v>
      </c>
      <c r="F158" s="11" t="s">
        <v>438</v>
      </c>
      <c r="G158" s="11"/>
    </row>
    <row r="159" customFormat="false" ht="15" hidden="false" customHeight="false" outlineLevel="0" collapsed="false">
      <c r="A159" s="30" t="n">
        <v>46183</v>
      </c>
      <c r="B159" s="11" t="s">
        <v>542</v>
      </c>
      <c r="C159" s="14" t="n">
        <v>6750</v>
      </c>
      <c r="D159" s="36" t="n">
        <v>87.8888</v>
      </c>
      <c r="E159" s="12" t="n">
        <v>593249.4</v>
      </c>
      <c r="F159" s="11" t="s">
        <v>440</v>
      </c>
      <c r="G159" s="11"/>
    </row>
    <row r="160" customFormat="false" ht="15" hidden="false" customHeight="false" outlineLevel="0" collapsed="false">
      <c r="A160" s="30" t="n">
        <v>46184</v>
      </c>
      <c r="B160" s="11" t="s">
        <v>542</v>
      </c>
      <c r="C160" s="14" t="n">
        <v>4630</v>
      </c>
      <c r="D160" s="36" t="n">
        <v>87.5847</v>
      </c>
      <c r="E160" s="12" t="n">
        <v>405517.16</v>
      </c>
      <c r="F160" s="11" t="s">
        <v>435</v>
      </c>
      <c r="G160" s="11"/>
    </row>
    <row r="161" customFormat="false" ht="15" hidden="false" customHeight="false" outlineLevel="0" collapsed="false">
      <c r="A161" s="30" t="n">
        <v>46185</v>
      </c>
      <c r="B161" s="11" t="s">
        <v>542</v>
      </c>
      <c r="C161" s="14" t="n">
        <v>6510</v>
      </c>
      <c r="D161" s="36" t="n">
        <v>87.7244</v>
      </c>
      <c r="E161" s="12" t="n">
        <v>571085.84</v>
      </c>
      <c r="F161" s="11" t="s">
        <v>439</v>
      </c>
      <c r="G161" s="11"/>
    </row>
    <row r="162" customFormat="false" ht="15" hidden="false" customHeight="false" outlineLevel="0" collapsed="false">
      <c r="A162" s="30" t="n">
        <v>46188</v>
      </c>
      <c r="B162" s="11" t="s">
        <v>542</v>
      </c>
      <c r="C162" s="14" t="n">
        <v>9250</v>
      </c>
      <c r="D162" s="36" t="n">
        <v>88.1259</v>
      </c>
      <c r="E162" s="12" t="n">
        <v>815164.58</v>
      </c>
      <c r="F162" s="11" t="s">
        <v>437</v>
      </c>
      <c r="G162" s="11"/>
    </row>
    <row r="163" customFormat="false" ht="15" hidden="false" customHeight="false" outlineLevel="0" collapsed="false">
      <c r="A163" s="30" t="n">
        <v>46188</v>
      </c>
      <c r="B163" s="11" t="s">
        <v>542</v>
      </c>
      <c r="C163" s="14" t="n">
        <v>3420</v>
      </c>
      <c r="D163" s="36" t="n">
        <v>88.1259</v>
      </c>
      <c r="E163" s="12" t="n">
        <v>301390.58</v>
      </c>
      <c r="F163" s="11" t="s">
        <v>441</v>
      </c>
      <c r="G163" s="11"/>
    </row>
    <row r="164" customFormat="false" ht="15" hidden="false" customHeight="false" outlineLevel="0" collapsed="false">
      <c r="A164" s="30" t="n">
        <v>46195</v>
      </c>
      <c r="B164" s="11" t="s">
        <v>542</v>
      </c>
      <c r="C164" s="14" t="n">
        <v>8630</v>
      </c>
      <c r="D164" s="36" t="n">
        <v>87.9473</v>
      </c>
      <c r="E164" s="12" t="n">
        <v>758985.2</v>
      </c>
      <c r="F164" s="11" t="s">
        <v>425</v>
      </c>
      <c r="G164" s="11"/>
    </row>
    <row r="165" customFormat="false" ht="15" hidden="false" customHeight="false" outlineLevel="0" collapsed="false">
      <c r="A165" s="30" t="n">
        <v>46209</v>
      </c>
      <c r="B165" s="11" t="s">
        <v>542</v>
      </c>
      <c r="C165" s="14" t="n">
        <v>4630</v>
      </c>
      <c r="D165" s="36" t="n">
        <v>87.2759</v>
      </c>
      <c r="E165" s="12" t="n">
        <v>404087.42</v>
      </c>
      <c r="F165" s="11" t="s">
        <v>445</v>
      </c>
      <c r="G165" s="11"/>
    </row>
    <row r="166" customFormat="false" ht="15" hidden="false" customHeight="false" outlineLevel="0" collapsed="false">
      <c r="A166" s="30" t="n">
        <v>46211</v>
      </c>
      <c r="B166" s="11" t="s">
        <v>542</v>
      </c>
      <c r="C166" s="14" t="n">
        <v>3880</v>
      </c>
      <c r="D166" s="36" t="n">
        <v>87.4993</v>
      </c>
      <c r="E166" s="12" t="n">
        <v>339497.28</v>
      </c>
      <c r="F166" s="11" t="s">
        <v>446</v>
      </c>
      <c r="G166" s="11"/>
    </row>
    <row r="167" customFormat="false" ht="15" hidden="false" customHeight="false" outlineLevel="0" collapsed="false">
      <c r="A167" s="30" t="n">
        <v>46211</v>
      </c>
      <c r="B167" s="11" t="s">
        <v>542</v>
      </c>
      <c r="C167" s="14" t="n">
        <v>9250</v>
      </c>
      <c r="D167" s="36" t="n">
        <v>87.4993</v>
      </c>
      <c r="E167" s="12" t="n">
        <v>809368.53</v>
      </c>
      <c r="F167" s="11" t="s">
        <v>447</v>
      </c>
      <c r="G167" s="11"/>
    </row>
    <row r="168" customFormat="false" ht="15" hidden="false" customHeight="false" outlineLevel="0" collapsed="false">
      <c r="A168" s="30" t="n">
        <v>46212</v>
      </c>
      <c r="B168" s="11" t="s">
        <v>542</v>
      </c>
      <c r="C168" s="14" t="n">
        <v>7760</v>
      </c>
      <c r="D168" s="36" t="n">
        <v>87.7496</v>
      </c>
      <c r="E168" s="12" t="n">
        <v>680936.9</v>
      </c>
      <c r="F168" s="11" t="s">
        <v>442</v>
      </c>
      <c r="G168" s="11"/>
    </row>
    <row r="169" customFormat="false" ht="15" hidden="false" customHeight="false" outlineLevel="0" collapsed="false">
      <c r="A169" s="30" t="n">
        <v>46216</v>
      </c>
      <c r="B169" s="11" t="s">
        <v>542</v>
      </c>
      <c r="C169" s="14" t="n">
        <v>8630</v>
      </c>
      <c r="D169" s="36" t="n">
        <v>87.5334</v>
      </c>
      <c r="E169" s="12" t="n">
        <v>755413.24</v>
      </c>
      <c r="F169" s="11" t="s">
        <v>434</v>
      </c>
      <c r="G169" s="11"/>
    </row>
    <row r="170" customFormat="false" ht="15" hidden="false" customHeight="false" outlineLevel="0" collapsed="false">
      <c r="A170" s="30" t="n">
        <v>46216</v>
      </c>
      <c r="B170" s="11" t="s">
        <v>542</v>
      </c>
      <c r="C170" s="14" t="n">
        <v>40710</v>
      </c>
      <c r="D170" s="36" t="n">
        <v>87.5334</v>
      </c>
      <c r="E170" s="12" t="n">
        <v>3563484.71</v>
      </c>
      <c r="F170" s="11" t="s">
        <v>444</v>
      </c>
      <c r="G170" s="11"/>
    </row>
    <row r="171" customFormat="false" ht="15" hidden="false" customHeight="false" outlineLevel="0" collapsed="false">
      <c r="A171" s="30" t="n">
        <v>46216</v>
      </c>
      <c r="B171" s="11" t="s">
        <v>542</v>
      </c>
      <c r="C171" s="14" t="n">
        <v>6510</v>
      </c>
      <c r="D171" s="36" t="n">
        <v>87.5334</v>
      </c>
      <c r="E171" s="12" t="n">
        <v>569842.43</v>
      </c>
      <c r="F171" s="11" t="s">
        <v>449</v>
      </c>
      <c r="G171" s="11"/>
    </row>
    <row r="172" customFormat="false" ht="15" hidden="false" customHeight="false" outlineLevel="0" collapsed="false">
      <c r="A172" s="30" t="n">
        <v>46216</v>
      </c>
      <c r="B172" s="11" t="s">
        <v>542</v>
      </c>
      <c r="C172" s="14" t="n">
        <v>6750</v>
      </c>
      <c r="D172" s="36" t="n">
        <v>87.5334</v>
      </c>
      <c r="E172" s="12" t="n">
        <v>590850.45</v>
      </c>
      <c r="F172" s="11" t="s">
        <v>450</v>
      </c>
      <c r="G172" s="11"/>
    </row>
    <row r="173" customFormat="false" ht="15" hidden="false" customHeight="false" outlineLevel="0" collapsed="false">
      <c r="A173" s="30" t="n">
        <v>46216</v>
      </c>
      <c r="B173" s="11" t="s">
        <v>542</v>
      </c>
      <c r="C173" s="14" t="n">
        <v>3420</v>
      </c>
      <c r="D173" s="36" t="n">
        <v>87.5334</v>
      </c>
      <c r="E173" s="12" t="n">
        <v>299364.23</v>
      </c>
      <c r="F173" s="11" t="s">
        <v>451</v>
      </c>
      <c r="G173" s="11"/>
    </row>
    <row r="174" customFormat="false" ht="15" hidden="false" customHeight="false" outlineLevel="0" collapsed="false">
      <c r="A174" s="30" t="n">
        <v>46217</v>
      </c>
      <c r="B174" s="11" t="s">
        <v>542</v>
      </c>
      <c r="C174" s="14" t="n">
        <v>3250</v>
      </c>
      <c r="D174" s="36" t="n">
        <v>87.6183</v>
      </c>
      <c r="E174" s="12" t="n">
        <v>284759.48</v>
      </c>
      <c r="F174" s="11" t="s">
        <v>448</v>
      </c>
      <c r="G174" s="11"/>
    </row>
    <row r="175" customFormat="false" ht="15" hidden="false" customHeight="false" outlineLevel="0" collapsed="false">
      <c r="A175" s="30" t="n">
        <v>46244</v>
      </c>
      <c r="B175" s="11" t="s">
        <v>542</v>
      </c>
      <c r="C175" s="14" t="n">
        <v>7760</v>
      </c>
      <c r="D175" s="36" t="n">
        <v>88.1399</v>
      </c>
      <c r="E175" s="12" t="n">
        <v>683965.62</v>
      </c>
      <c r="F175" s="11" t="s">
        <v>452</v>
      </c>
      <c r="G175" s="11"/>
    </row>
    <row r="176" customFormat="false" ht="15" hidden="false" customHeight="false" outlineLevel="0" collapsed="false">
      <c r="A176" s="30" t="n">
        <v>46244</v>
      </c>
      <c r="B176" s="11" t="s">
        <v>542</v>
      </c>
      <c r="C176" s="14" t="n">
        <v>3250</v>
      </c>
      <c r="D176" s="36" t="n">
        <v>88.1399</v>
      </c>
      <c r="E176" s="12" t="n">
        <v>286454.67</v>
      </c>
      <c r="F176" s="11" t="s">
        <v>457</v>
      </c>
      <c r="G176" s="11"/>
    </row>
    <row r="177" customFormat="false" ht="15" hidden="false" customHeight="false" outlineLevel="0" collapsed="false">
      <c r="A177" s="30" t="n">
        <v>46244</v>
      </c>
      <c r="B177" s="11" t="s">
        <v>542</v>
      </c>
      <c r="C177" s="14" t="n">
        <v>6510</v>
      </c>
      <c r="D177" s="36" t="n">
        <v>88.1399</v>
      </c>
      <c r="E177" s="12" t="n">
        <v>573790.75</v>
      </c>
      <c r="F177" s="11" t="s">
        <v>458</v>
      </c>
      <c r="G177" s="11"/>
    </row>
    <row r="178" customFormat="false" ht="15" hidden="false" customHeight="false" outlineLevel="0" collapsed="false">
      <c r="A178" s="30" t="n">
        <v>46245</v>
      </c>
      <c r="B178" s="11" t="s">
        <v>542</v>
      </c>
      <c r="C178" s="14" t="n">
        <v>9250</v>
      </c>
      <c r="D178" s="36" t="n">
        <v>88.2758</v>
      </c>
      <c r="E178" s="12" t="n">
        <v>816551.15</v>
      </c>
      <c r="F178" s="11" t="s">
        <v>456</v>
      </c>
      <c r="G178" s="11"/>
    </row>
    <row r="179" customFormat="false" ht="15" hidden="false" customHeight="false" outlineLevel="0" collapsed="false">
      <c r="A179" s="30" t="n">
        <v>46245</v>
      </c>
      <c r="B179" s="11" t="s">
        <v>542</v>
      </c>
      <c r="C179" s="14" t="n">
        <v>6750</v>
      </c>
      <c r="D179" s="36" t="n">
        <v>88.2758</v>
      </c>
      <c r="E179" s="12" t="n">
        <v>595861.65</v>
      </c>
      <c r="F179" s="11" t="s">
        <v>460</v>
      </c>
      <c r="G179" s="11"/>
    </row>
    <row r="180" customFormat="false" ht="15" hidden="false" customHeight="false" outlineLevel="0" collapsed="false">
      <c r="A180" s="30" t="n">
        <v>46247</v>
      </c>
      <c r="B180" s="11" t="s">
        <v>542</v>
      </c>
      <c r="C180" s="14" t="n">
        <v>3420</v>
      </c>
      <c r="D180" s="36" t="n">
        <v>88.1665</v>
      </c>
      <c r="E180" s="12" t="n">
        <v>301529.43</v>
      </c>
      <c r="F180" s="11" t="s">
        <v>461</v>
      </c>
      <c r="G180" s="11"/>
    </row>
    <row r="181" customFormat="false" ht="15" hidden="false" customHeight="false" outlineLevel="0" collapsed="false">
      <c r="A181" s="30" t="n">
        <v>46248</v>
      </c>
      <c r="B181" s="11" t="s">
        <v>542</v>
      </c>
      <c r="C181" s="14" t="n">
        <v>4630</v>
      </c>
      <c r="D181" s="36" t="n">
        <v>88.4198</v>
      </c>
      <c r="E181" s="12" t="n">
        <v>409383.67</v>
      </c>
      <c r="F181" s="11" t="s">
        <v>454</v>
      </c>
      <c r="G181" s="11"/>
    </row>
    <row r="182" customFormat="false" ht="15" hidden="false" customHeight="false" outlineLevel="0" collapsed="false">
      <c r="A182" s="30" t="n">
        <v>46251</v>
      </c>
      <c r="B182" s="11" t="s">
        <v>542</v>
      </c>
      <c r="C182" s="14" t="n">
        <v>3880</v>
      </c>
      <c r="D182" s="36" t="n">
        <v>88.4643</v>
      </c>
      <c r="E182" s="12" t="n">
        <v>343241.48</v>
      </c>
      <c r="F182" s="11" t="s">
        <v>455</v>
      </c>
      <c r="G182" s="11"/>
    </row>
    <row r="183" customFormat="false" ht="15" hidden="false" customHeight="false" outlineLevel="0" collapsed="false">
      <c r="A183" s="30" t="n">
        <v>46255</v>
      </c>
      <c r="B183" s="11" t="s">
        <v>542</v>
      </c>
      <c r="C183" s="14" t="n">
        <v>17110</v>
      </c>
      <c r="D183" s="36" t="n">
        <v>88.3385</v>
      </c>
      <c r="E183" s="12" t="n">
        <v>1511471.73</v>
      </c>
      <c r="F183" s="11" t="s">
        <v>459</v>
      </c>
      <c r="G183" s="11"/>
    </row>
    <row r="184" customFormat="false" ht="15" hidden="false" customHeight="false" outlineLevel="0" collapsed="false">
      <c r="A184" s="30" t="n">
        <v>46262</v>
      </c>
      <c r="B184" s="11" t="s">
        <v>542</v>
      </c>
      <c r="C184" s="14" t="n">
        <v>8630</v>
      </c>
      <c r="D184" s="36" t="n">
        <v>88.0351</v>
      </c>
      <c r="E184" s="12" t="n">
        <v>759742.91</v>
      </c>
      <c r="F184" s="11" t="s">
        <v>443</v>
      </c>
      <c r="G184" s="11"/>
    </row>
    <row r="185" customFormat="false" ht="15" hidden="false" customHeight="false" outlineLevel="0" collapsed="false">
      <c r="A185" s="30" t="n">
        <v>46294</v>
      </c>
      <c r="B185" s="11" t="s">
        <v>543</v>
      </c>
      <c r="C185" s="14" t="n">
        <v>31000</v>
      </c>
      <c r="D185" s="36" t="n">
        <v>87.5586</v>
      </c>
      <c r="E185" s="12" t="n">
        <v>2714316.6</v>
      </c>
      <c r="F185" s="11" t="s">
        <v>544</v>
      </c>
      <c r="G185" s="11" t="s">
        <v>545</v>
      </c>
    </row>
  </sheetData>
  <autoFilter ref="A1:G18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40"/>
    <col collapsed="false" customWidth="true" hidden="false" outlineLevel="0" max="3" min="3" style="0" width="36"/>
    <col collapsed="false" customWidth="true" hidden="false" outlineLevel="0" max="4" min="4" style="0" width="18"/>
    <col collapsed="false" customWidth="true" hidden="false" outlineLevel="0" max="5" min="5" style="0" width="20"/>
  </cols>
  <sheetData>
    <row r="1" customFormat="false" ht="23.85" hidden="false" customHeight="false" outlineLevel="0" collapsed="false">
      <c r="A1" s="4" t="s">
        <v>504</v>
      </c>
      <c r="B1" s="4" t="s">
        <v>546</v>
      </c>
      <c r="C1" s="4" t="s">
        <v>547</v>
      </c>
      <c r="D1" s="4" t="s">
        <v>548</v>
      </c>
      <c r="E1" s="4" t="s">
        <v>549</v>
      </c>
    </row>
    <row r="2" customFormat="false" ht="15" hidden="false" customHeight="false" outlineLevel="0" collapsed="false">
      <c r="A2" s="30" t="n">
        <v>46272</v>
      </c>
      <c r="B2" s="11" t="s">
        <v>550</v>
      </c>
      <c r="C2" s="11" t="s">
        <v>464</v>
      </c>
      <c r="D2" s="14" t="n">
        <v>4630</v>
      </c>
      <c r="E2" s="11" t="s">
        <v>545</v>
      </c>
    </row>
    <row r="3" customFormat="false" ht="15" hidden="false" customHeight="false" outlineLevel="0" collapsed="false">
      <c r="A3" s="30" t="n">
        <v>46272</v>
      </c>
      <c r="B3" s="11" t="s">
        <v>550</v>
      </c>
      <c r="C3" s="11" t="s">
        <v>468</v>
      </c>
      <c r="D3" s="14" t="n">
        <v>6510</v>
      </c>
      <c r="E3" s="11" t="s">
        <v>545</v>
      </c>
    </row>
    <row r="4" customFormat="false" ht="15" hidden="false" customHeight="false" outlineLevel="0" collapsed="false">
      <c r="A4" s="30" t="n">
        <v>46272</v>
      </c>
      <c r="B4" s="11" t="s">
        <v>551</v>
      </c>
      <c r="C4" s="11" t="s">
        <v>534</v>
      </c>
      <c r="D4" s="14" t="n">
        <v>-1290</v>
      </c>
      <c r="E4" s="11" t="s">
        <v>545</v>
      </c>
    </row>
    <row r="5" customFormat="false" ht="15" hidden="false" customHeight="false" outlineLevel="0" collapsed="false">
      <c r="A5" s="30" t="n">
        <v>46273</v>
      </c>
      <c r="B5" s="11" t="s">
        <v>550</v>
      </c>
      <c r="C5" s="11" t="s">
        <v>466</v>
      </c>
      <c r="D5" s="14" t="n">
        <v>9250</v>
      </c>
      <c r="E5" s="11" t="s">
        <v>545</v>
      </c>
    </row>
    <row r="6" customFormat="false" ht="15" hidden="false" customHeight="false" outlineLevel="0" collapsed="false">
      <c r="A6" s="30" t="n">
        <v>46279</v>
      </c>
      <c r="B6" s="11" t="s">
        <v>550</v>
      </c>
      <c r="C6" s="11" t="s">
        <v>462</v>
      </c>
      <c r="D6" s="14" t="n">
        <v>7760</v>
      </c>
      <c r="E6" s="11" t="s">
        <v>545</v>
      </c>
    </row>
    <row r="7" customFormat="false" ht="15" hidden="false" customHeight="false" outlineLevel="0" collapsed="false">
      <c r="A7" s="30" t="n">
        <v>46279</v>
      </c>
      <c r="B7" s="11" t="s">
        <v>550</v>
      </c>
      <c r="C7" s="11" t="s">
        <v>470</v>
      </c>
      <c r="D7" s="14" t="n">
        <v>6750</v>
      </c>
      <c r="E7" s="11" t="s">
        <v>545</v>
      </c>
    </row>
    <row r="8" customFormat="false" ht="15" hidden="false" customHeight="false" outlineLevel="0" collapsed="false">
      <c r="A8" s="30" t="n">
        <v>46279</v>
      </c>
      <c r="B8" s="11" t="s">
        <v>550</v>
      </c>
      <c r="C8" s="11" t="s">
        <v>471</v>
      </c>
      <c r="D8" s="14" t="n">
        <v>3420</v>
      </c>
      <c r="E8" s="11" t="s">
        <v>545</v>
      </c>
    </row>
    <row r="9" customFormat="false" ht="15" hidden="false" customHeight="false" outlineLevel="0" collapsed="false">
      <c r="A9" s="30" t="n">
        <v>46280</v>
      </c>
      <c r="B9" s="11" t="s">
        <v>550</v>
      </c>
      <c r="C9" s="11" t="s">
        <v>465</v>
      </c>
      <c r="D9" s="14" t="n">
        <v>3880</v>
      </c>
      <c r="E9" s="11" t="s">
        <v>545</v>
      </c>
    </row>
    <row r="10" customFormat="false" ht="15" hidden="false" customHeight="false" outlineLevel="0" collapsed="false">
      <c r="A10" s="30" t="n">
        <v>46280</v>
      </c>
      <c r="B10" s="11" t="s">
        <v>550</v>
      </c>
      <c r="C10" s="11" t="s">
        <v>467</v>
      </c>
      <c r="D10" s="14" t="n">
        <v>3250</v>
      </c>
      <c r="E10" s="11" t="s">
        <v>545</v>
      </c>
    </row>
    <row r="11" customFormat="false" ht="15" hidden="false" customHeight="false" outlineLevel="0" collapsed="false">
      <c r="A11" s="30" t="n">
        <v>46286</v>
      </c>
      <c r="B11" s="11" t="s">
        <v>550</v>
      </c>
      <c r="C11" s="11" t="s">
        <v>453</v>
      </c>
      <c r="D11" s="14" t="n">
        <v>8630</v>
      </c>
      <c r="E11" s="11" t="s">
        <v>545</v>
      </c>
    </row>
    <row r="12" customFormat="false" ht="15" hidden="false" customHeight="false" outlineLevel="0" collapsed="false">
      <c r="A12" s="30" t="n">
        <v>46287</v>
      </c>
      <c r="B12" s="11" t="s">
        <v>550</v>
      </c>
      <c r="C12" s="11" t="s">
        <v>469</v>
      </c>
      <c r="D12" s="14" t="n">
        <v>17110</v>
      </c>
      <c r="E12" s="11" t="s">
        <v>545</v>
      </c>
    </row>
    <row r="13" customFormat="false" ht="15" hidden="false" customHeight="false" outlineLevel="0" collapsed="false">
      <c r="A13" s="30" t="n">
        <v>46294</v>
      </c>
      <c r="B13" s="11" t="s">
        <v>552</v>
      </c>
      <c r="C13" s="11" t="s">
        <v>543</v>
      </c>
      <c r="D13" s="14" t="n">
        <v>-31000</v>
      </c>
      <c r="E13" s="11" t="s">
        <v>545</v>
      </c>
    </row>
    <row r="14" customFormat="false" ht="15" hidden="false" customHeight="false" outlineLevel="0" collapsed="false">
      <c r="A14" s="30" t="n">
        <v>46300</v>
      </c>
      <c r="B14" s="11" t="s">
        <v>553</v>
      </c>
      <c r="C14" s="11" t="s">
        <v>531</v>
      </c>
      <c r="D14" s="14" t="n">
        <v>-7277.58</v>
      </c>
      <c r="E14" s="11" t="s">
        <v>545</v>
      </c>
    </row>
    <row r="15" customFormat="false" ht="15" hidden="false" customHeight="false" outlineLevel="0" collapsed="false">
      <c r="A15" s="30" t="n">
        <v>46302</v>
      </c>
      <c r="B15" s="11" t="s">
        <v>550</v>
      </c>
      <c r="C15" s="11" t="s">
        <v>476</v>
      </c>
      <c r="D15" s="14" t="n">
        <v>3880</v>
      </c>
      <c r="E15" s="11" t="s">
        <v>554</v>
      </c>
    </row>
    <row r="16" customFormat="false" ht="15" hidden="false" customHeight="false" outlineLevel="0" collapsed="false">
      <c r="A16" s="30" t="n">
        <v>46302</v>
      </c>
      <c r="B16" s="11" t="s">
        <v>550</v>
      </c>
      <c r="C16" s="11" t="s">
        <v>481</v>
      </c>
      <c r="D16" s="14" t="n">
        <v>6750</v>
      </c>
      <c r="E16" s="11" t="s">
        <v>554</v>
      </c>
    </row>
    <row r="17" customFormat="false" ht="15" hidden="false" customHeight="false" outlineLevel="0" collapsed="false">
      <c r="A17" s="30" t="n">
        <v>46302</v>
      </c>
      <c r="B17" s="11" t="s">
        <v>551</v>
      </c>
      <c r="C17" s="11" t="s">
        <v>534</v>
      </c>
      <c r="D17" s="14" t="n">
        <v>-1290</v>
      </c>
      <c r="E17" s="11" t="s">
        <v>545</v>
      </c>
    </row>
    <row r="18" customFormat="false" ht="15" hidden="false" customHeight="false" outlineLevel="0" collapsed="false">
      <c r="A18" s="30" t="n">
        <v>46303</v>
      </c>
      <c r="B18" s="11" t="s">
        <v>550</v>
      </c>
      <c r="C18" s="11" t="s">
        <v>475</v>
      </c>
      <c r="D18" s="14" t="n">
        <v>4630</v>
      </c>
      <c r="E18" s="11" t="s">
        <v>554</v>
      </c>
    </row>
    <row r="19" customFormat="false" ht="15" hidden="false" customHeight="false" outlineLevel="0" collapsed="false">
      <c r="A19" s="30" t="n">
        <v>46304</v>
      </c>
      <c r="B19" s="11" t="s">
        <v>550</v>
      </c>
      <c r="C19" s="11" t="s">
        <v>482</v>
      </c>
      <c r="D19" s="14" t="n">
        <v>3420</v>
      </c>
      <c r="E19" s="11" t="s">
        <v>554</v>
      </c>
    </row>
    <row r="20" customFormat="false" ht="15" hidden="false" customHeight="false" outlineLevel="0" collapsed="false">
      <c r="A20" s="30" t="n">
        <v>46307</v>
      </c>
      <c r="B20" s="11" t="s">
        <v>550</v>
      </c>
      <c r="C20" s="11" t="s">
        <v>477</v>
      </c>
      <c r="D20" s="14" t="n">
        <v>9250</v>
      </c>
      <c r="E20" s="11" t="s">
        <v>554</v>
      </c>
    </row>
    <row r="21" customFormat="false" ht="15" hidden="false" customHeight="false" outlineLevel="0" collapsed="false">
      <c r="A21" s="30" t="n">
        <v>46307</v>
      </c>
      <c r="B21" s="11" t="s">
        <v>550</v>
      </c>
      <c r="C21" s="11" t="s">
        <v>478</v>
      </c>
      <c r="D21" s="14" t="n">
        <v>3250</v>
      </c>
      <c r="E21" s="11" t="s">
        <v>554</v>
      </c>
    </row>
    <row r="22" customFormat="false" ht="15" hidden="false" customHeight="false" outlineLevel="0" collapsed="false">
      <c r="A22" s="30" t="n">
        <v>46307</v>
      </c>
      <c r="B22" s="11" t="s">
        <v>550</v>
      </c>
      <c r="C22" s="11" t="s">
        <v>479</v>
      </c>
      <c r="D22" s="14" t="n">
        <v>6510</v>
      </c>
      <c r="E22" s="11" t="s">
        <v>554</v>
      </c>
    </row>
    <row r="23" customFormat="false" ht="15" hidden="false" customHeight="false" outlineLevel="0" collapsed="false">
      <c r="A23" s="30" t="n">
        <v>46307</v>
      </c>
      <c r="B23" s="11" t="s">
        <v>555</v>
      </c>
      <c r="C23" s="11" t="s">
        <v>535</v>
      </c>
      <c r="D23" s="14" t="n">
        <v>-9000</v>
      </c>
      <c r="E23" s="11" t="s">
        <v>545</v>
      </c>
    </row>
    <row r="24" customFormat="false" ht="15" hidden="false" customHeight="false" outlineLevel="0" collapsed="false">
      <c r="A24" s="30" t="n">
        <v>46309</v>
      </c>
      <c r="B24" s="11" t="s">
        <v>550</v>
      </c>
      <c r="C24" s="11" t="s">
        <v>472</v>
      </c>
      <c r="D24" s="14" t="n">
        <v>7760</v>
      </c>
      <c r="E24" s="11" t="s">
        <v>554</v>
      </c>
    </row>
    <row r="25" customFormat="false" ht="15" hidden="false" customHeight="false" outlineLevel="0" collapsed="false">
      <c r="A25" s="30" t="n">
        <v>46315</v>
      </c>
      <c r="B25" s="11" t="s">
        <v>550</v>
      </c>
      <c r="C25" s="11" t="s">
        <v>463</v>
      </c>
      <c r="D25" s="14" t="n">
        <v>8630</v>
      </c>
      <c r="E25" s="11" t="s">
        <v>554</v>
      </c>
    </row>
    <row r="26" customFormat="false" ht="15" hidden="false" customHeight="false" outlineLevel="0" collapsed="false">
      <c r="A26" s="30" t="n">
        <v>46315</v>
      </c>
      <c r="B26" s="11" t="s">
        <v>550</v>
      </c>
      <c r="C26" s="11" t="s">
        <v>480</v>
      </c>
      <c r="D26" s="14" t="n">
        <v>17110</v>
      </c>
      <c r="E26" s="11" t="s">
        <v>554</v>
      </c>
    </row>
  </sheetData>
  <autoFilter ref="A1:E2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3" min="2" style="0" width="17"/>
  </cols>
  <sheetData>
    <row r="1" customFormat="false" ht="23.85" hidden="false" customHeight="false" outlineLevel="0" collapsed="false">
      <c r="A1" s="4" t="s">
        <v>504</v>
      </c>
      <c r="B1" s="4" t="s">
        <v>556</v>
      </c>
      <c r="C1" s="4" t="s">
        <v>557</v>
      </c>
    </row>
    <row r="2" customFormat="false" ht="15" hidden="false" customHeight="false" outlineLevel="0" collapsed="false">
      <c r="A2" s="30" t="n">
        <v>45597</v>
      </c>
      <c r="B2" s="12" t="n">
        <v>5154271</v>
      </c>
      <c r="C2" s="14" t="n">
        <v>0</v>
      </c>
    </row>
    <row r="3" customFormat="false" ht="15" hidden="false" customHeight="false" outlineLevel="0" collapsed="false">
      <c r="A3" s="30" t="n">
        <v>45598</v>
      </c>
      <c r="B3" s="12" t="n">
        <v>5154271</v>
      </c>
      <c r="C3" s="14" t="n">
        <v>0</v>
      </c>
    </row>
    <row r="4" customFormat="false" ht="15" hidden="false" customHeight="false" outlineLevel="0" collapsed="false">
      <c r="A4" s="30" t="n">
        <v>45599</v>
      </c>
      <c r="B4" s="12" t="n">
        <v>5154271</v>
      </c>
      <c r="C4" s="14" t="n">
        <v>0</v>
      </c>
    </row>
    <row r="5" customFormat="false" ht="15" hidden="false" customHeight="false" outlineLevel="0" collapsed="false">
      <c r="A5" s="30" t="n">
        <v>45600</v>
      </c>
      <c r="B5" s="12" t="n">
        <v>4817162.51</v>
      </c>
      <c r="C5" s="14" t="n">
        <v>0</v>
      </c>
    </row>
    <row r="6" customFormat="false" ht="15" hidden="false" customHeight="false" outlineLevel="0" collapsed="false">
      <c r="A6" s="30" t="n">
        <v>45601</v>
      </c>
      <c r="B6" s="12" t="n">
        <v>4497162.51</v>
      </c>
      <c r="C6" s="14" t="n">
        <v>0</v>
      </c>
    </row>
    <row r="7" customFormat="false" ht="15" hidden="false" customHeight="false" outlineLevel="0" collapsed="false">
      <c r="A7" s="30" t="n">
        <v>45602</v>
      </c>
      <c r="B7" s="12" t="n">
        <v>4497162.51</v>
      </c>
      <c r="C7" s="14" t="n">
        <v>0</v>
      </c>
    </row>
    <row r="8" customFormat="false" ht="15" hidden="false" customHeight="false" outlineLevel="0" collapsed="false">
      <c r="A8" s="30" t="n">
        <v>45603</v>
      </c>
      <c r="B8" s="12" t="n">
        <v>4396941.96</v>
      </c>
      <c r="C8" s="14" t="n">
        <v>0</v>
      </c>
    </row>
    <row r="9" customFormat="false" ht="15" hidden="false" customHeight="false" outlineLevel="0" collapsed="false">
      <c r="A9" s="30" t="n">
        <v>45604</v>
      </c>
      <c r="B9" s="12" t="n">
        <v>4396941.96</v>
      </c>
      <c r="C9" s="14" t="n">
        <v>0</v>
      </c>
    </row>
    <row r="10" customFormat="false" ht="15" hidden="false" customHeight="false" outlineLevel="0" collapsed="false">
      <c r="A10" s="30" t="n">
        <v>45605</v>
      </c>
      <c r="B10" s="12" t="n">
        <v>4396941.96</v>
      </c>
      <c r="C10" s="14" t="n">
        <v>0</v>
      </c>
    </row>
    <row r="11" customFormat="false" ht="15" hidden="false" customHeight="false" outlineLevel="0" collapsed="false">
      <c r="A11" s="30" t="n">
        <v>45606</v>
      </c>
      <c r="B11" s="12" t="n">
        <v>4396941.96</v>
      </c>
      <c r="C11" s="14" t="n">
        <v>0</v>
      </c>
    </row>
    <row r="12" customFormat="false" ht="15" hidden="false" customHeight="false" outlineLevel="0" collapsed="false">
      <c r="A12" s="30" t="n">
        <v>45607</v>
      </c>
      <c r="B12" s="12" t="n">
        <v>6332504.92</v>
      </c>
      <c r="C12" s="14" t="n">
        <v>0</v>
      </c>
    </row>
    <row r="13" customFormat="false" ht="15" hidden="false" customHeight="false" outlineLevel="0" collapsed="false">
      <c r="A13" s="30" t="n">
        <v>45608</v>
      </c>
      <c r="B13" s="12" t="n">
        <v>6332504.92</v>
      </c>
      <c r="C13" s="14" t="n">
        <v>0</v>
      </c>
    </row>
    <row r="14" customFormat="false" ht="15" hidden="false" customHeight="false" outlineLevel="0" collapsed="false">
      <c r="A14" s="30" t="n">
        <v>45609</v>
      </c>
      <c r="B14" s="12" t="n">
        <v>7072418.69</v>
      </c>
      <c r="C14" s="14" t="n">
        <v>0</v>
      </c>
    </row>
    <row r="15" customFormat="false" ht="15" hidden="false" customHeight="false" outlineLevel="0" collapsed="false">
      <c r="A15" s="30" t="n">
        <v>45610</v>
      </c>
      <c r="B15" s="12" t="n">
        <v>7072418.69</v>
      </c>
      <c r="C15" s="14" t="n">
        <v>0</v>
      </c>
    </row>
    <row r="16" customFormat="false" ht="15" hidden="false" customHeight="false" outlineLevel="0" collapsed="false">
      <c r="A16" s="30" t="n">
        <v>45611</v>
      </c>
      <c r="B16" s="12" t="n">
        <v>7072418.69</v>
      </c>
      <c r="C16" s="14" t="n">
        <v>0</v>
      </c>
    </row>
    <row r="17" customFormat="false" ht="15" hidden="false" customHeight="false" outlineLevel="0" collapsed="false">
      <c r="A17" s="30" t="n">
        <v>45612</v>
      </c>
      <c r="B17" s="12" t="n">
        <v>7072418.69</v>
      </c>
      <c r="C17" s="14" t="n">
        <v>0</v>
      </c>
    </row>
    <row r="18" customFormat="false" ht="15" hidden="false" customHeight="false" outlineLevel="0" collapsed="false">
      <c r="A18" s="30" t="n">
        <v>45613</v>
      </c>
      <c r="B18" s="12" t="n">
        <v>7072418.69</v>
      </c>
      <c r="C18" s="14" t="n">
        <v>0</v>
      </c>
    </row>
    <row r="19" customFormat="false" ht="15" hidden="false" customHeight="false" outlineLevel="0" collapsed="false">
      <c r="A19" s="30" t="n">
        <v>45614</v>
      </c>
      <c r="B19" s="12" t="n">
        <v>7072418.69</v>
      </c>
      <c r="C19" s="14" t="n">
        <v>0</v>
      </c>
    </row>
    <row r="20" customFormat="false" ht="15" hidden="false" customHeight="false" outlineLevel="0" collapsed="false">
      <c r="A20" s="30" t="n">
        <v>45615</v>
      </c>
      <c r="B20" s="12" t="n">
        <v>7072418.69</v>
      </c>
      <c r="C20" s="14" t="n">
        <v>0</v>
      </c>
    </row>
    <row r="21" customFormat="false" ht="15" hidden="false" customHeight="false" outlineLevel="0" collapsed="false">
      <c r="A21" s="30" t="n">
        <v>45616</v>
      </c>
      <c r="B21" s="12" t="n">
        <v>6840362.69</v>
      </c>
      <c r="C21" s="14" t="n">
        <v>0</v>
      </c>
    </row>
    <row r="22" customFormat="false" ht="15" hidden="false" customHeight="false" outlineLevel="0" collapsed="false">
      <c r="A22" s="30" t="n">
        <v>45617</v>
      </c>
      <c r="B22" s="12" t="n">
        <v>6840362.69</v>
      </c>
      <c r="C22" s="14" t="n">
        <v>0</v>
      </c>
    </row>
    <row r="23" customFormat="false" ht="15" hidden="false" customHeight="false" outlineLevel="0" collapsed="false">
      <c r="A23" s="30" t="n">
        <v>45618</v>
      </c>
      <c r="B23" s="12" t="n">
        <v>6840362.69</v>
      </c>
      <c r="C23" s="14" t="n">
        <v>0</v>
      </c>
    </row>
    <row r="24" customFormat="false" ht="15" hidden="false" customHeight="false" outlineLevel="0" collapsed="false">
      <c r="A24" s="30" t="n">
        <v>45619</v>
      </c>
      <c r="B24" s="12" t="n">
        <v>6840362.69</v>
      </c>
      <c r="C24" s="14" t="n">
        <v>0</v>
      </c>
    </row>
    <row r="25" customFormat="false" ht="15" hidden="false" customHeight="false" outlineLevel="0" collapsed="false">
      <c r="A25" s="30" t="n">
        <v>45620</v>
      </c>
      <c r="B25" s="12" t="n">
        <v>6840362.69</v>
      </c>
      <c r="C25" s="14" t="n">
        <v>0</v>
      </c>
    </row>
    <row r="26" customFormat="false" ht="15" hidden="false" customHeight="false" outlineLevel="0" collapsed="false">
      <c r="A26" s="30" t="n">
        <v>45621</v>
      </c>
      <c r="B26" s="12" t="n">
        <v>6840362.69</v>
      </c>
      <c r="C26" s="14" t="n">
        <v>0</v>
      </c>
    </row>
    <row r="27" customFormat="false" ht="15" hidden="false" customHeight="false" outlineLevel="0" collapsed="false">
      <c r="A27" s="30" t="n">
        <v>45622</v>
      </c>
      <c r="B27" s="12" t="n">
        <v>6840362.69</v>
      </c>
      <c r="C27" s="14" t="n">
        <v>0</v>
      </c>
    </row>
    <row r="28" customFormat="false" ht="15" hidden="false" customHeight="false" outlineLevel="0" collapsed="false">
      <c r="A28" s="30" t="n">
        <v>45623</v>
      </c>
      <c r="B28" s="12" t="n">
        <v>6840362.69</v>
      </c>
      <c r="C28" s="14" t="n">
        <v>0</v>
      </c>
    </row>
    <row r="29" customFormat="false" ht="15" hidden="false" customHeight="false" outlineLevel="0" collapsed="false">
      <c r="A29" s="30" t="n">
        <v>45624</v>
      </c>
      <c r="B29" s="12" t="n">
        <v>6840362.69</v>
      </c>
      <c r="C29" s="14" t="n">
        <v>0</v>
      </c>
    </row>
    <row r="30" customFormat="false" ht="15" hidden="false" customHeight="false" outlineLevel="0" collapsed="false">
      <c r="A30" s="30" t="n">
        <v>45625</v>
      </c>
      <c r="B30" s="12" t="n">
        <v>6840362.69</v>
      </c>
      <c r="C30" s="14" t="n">
        <v>0</v>
      </c>
    </row>
    <row r="31" customFormat="false" ht="15" hidden="false" customHeight="false" outlineLevel="0" collapsed="false">
      <c r="A31" s="30" t="n">
        <v>45626</v>
      </c>
      <c r="B31" s="12" t="n">
        <v>6840362.69</v>
      </c>
      <c r="C31" s="14" t="n">
        <v>0</v>
      </c>
    </row>
    <row r="32" customFormat="false" ht="15" hidden="false" customHeight="false" outlineLevel="0" collapsed="false">
      <c r="A32" s="30" t="n">
        <v>45627</v>
      </c>
      <c r="B32" s="12" t="n">
        <v>6840362.69</v>
      </c>
      <c r="C32" s="14" t="n">
        <v>0</v>
      </c>
    </row>
    <row r="33" customFormat="false" ht="15" hidden="false" customHeight="false" outlineLevel="0" collapsed="false">
      <c r="A33" s="30" t="n">
        <v>45628</v>
      </c>
      <c r="B33" s="12" t="n">
        <v>3997835.69</v>
      </c>
      <c r="C33" s="14" t="n">
        <v>0</v>
      </c>
    </row>
    <row r="34" customFormat="false" ht="15" hidden="false" customHeight="false" outlineLevel="0" collapsed="false">
      <c r="A34" s="30" t="n">
        <v>45629</v>
      </c>
      <c r="B34" s="12" t="n">
        <v>3653065.52</v>
      </c>
      <c r="C34" s="14" t="n">
        <v>0</v>
      </c>
    </row>
    <row r="35" customFormat="false" ht="15" hidden="false" customHeight="false" outlineLevel="0" collapsed="false">
      <c r="A35" s="30" t="n">
        <v>45630</v>
      </c>
      <c r="B35" s="12" t="n">
        <v>3653065.52</v>
      </c>
      <c r="C35" s="14" t="n">
        <v>0</v>
      </c>
    </row>
    <row r="36" customFormat="false" ht="15" hidden="false" customHeight="false" outlineLevel="0" collapsed="false">
      <c r="A36" s="30" t="n">
        <v>45631</v>
      </c>
      <c r="B36" s="12" t="n">
        <v>3333065.52</v>
      </c>
      <c r="C36" s="14" t="n">
        <v>0</v>
      </c>
    </row>
    <row r="37" customFormat="false" ht="15" hidden="false" customHeight="false" outlineLevel="0" collapsed="false">
      <c r="A37" s="30" t="n">
        <v>45632</v>
      </c>
      <c r="B37" s="12" t="n">
        <v>3333065.52</v>
      </c>
      <c r="C37" s="14" t="n">
        <v>0</v>
      </c>
    </row>
    <row r="38" customFormat="false" ht="15" hidden="false" customHeight="false" outlineLevel="0" collapsed="false">
      <c r="A38" s="30" t="n">
        <v>45633</v>
      </c>
      <c r="B38" s="12" t="n">
        <v>3333065.52</v>
      </c>
      <c r="C38" s="14" t="n">
        <v>0</v>
      </c>
    </row>
    <row r="39" customFormat="false" ht="15" hidden="false" customHeight="false" outlineLevel="0" collapsed="false">
      <c r="A39" s="30" t="n">
        <v>45634</v>
      </c>
      <c r="B39" s="12" t="n">
        <v>3333065.52</v>
      </c>
      <c r="C39" s="14" t="n">
        <v>0</v>
      </c>
    </row>
    <row r="40" customFormat="false" ht="15" hidden="false" customHeight="false" outlineLevel="0" collapsed="false">
      <c r="A40" s="30" t="n">
        <v>45635</v>
      </c>
      <c r="B40" s="12" t="n">
        <v>4899641.17</v>
      </c>
      <c r="C40" s="14" t="n">
        <v>0</v>
      </c>
    </row>
    <row r="41" customFormat="false" ht="15" hidden="false" customHeight="false" outlineLevel="0" collapsed="false">
      <c r="A41" s="30" t="n">
        <v>45636</v>
      </c>
      <c r="B41" s="12" t="n">
        <v>5579131.74</v>
      </c>
      <c r="C41" s="14" t="n">
        <v>0</v>
      </c>
    </row>
    <row r="42" customFormat="false" ht="15" hidden="false" customHeight="false" outlineLevel="0" collapsed="false">
      <c r="A42" s="30" t="n">
        <v>45637</v>
      </c>
      <c r="B42" s="12" t="n">
        <v>5579131.74</v>
      </c>
      <c r="C42" s="14" t="n">
        <v>0</v>
      </c>
    </row>
    <row r="43" customFormat="false" ht="15" hidden="false" customHeight="false" outlineLevel="0" collapsed="false">
      <c r="A43" s="30" t="n">
        <v>45638</v>
      </c>
      <c r="B43" s="12" t="n">
        <v>5579131.74</v>
      </c>
      <c r="C43" s="14" t="n">
        <v>0</v>
      </c>
    </row>
    <row r="44" customFormat="false" ht="15" hidden="false" customHeight="false" outlineLevel="0" collapsed="false">
      <c r="A44" s="30" t="n">
        <v>45639</v>
      </c>
      <c r="B44" s="12" t="n">
        <v>5945004.74</v>
      </c>
      <c r="C44" s="14" t="n">
        <v>0</v>
      </c>
    </row>
    <row r="45" customFormat="false" ht="15" hidden="false" customHeight="false" outlineLevel="0" collapsed="false">
      <c r="A45" s="30" t="n">
        <v>45640</v>
      </c>
      <c r="B45" s="12" t="n">
        <v>5945004.74</v>
      </c>
      <c r="C45" s="14" t="n">
        <v>0</v>
      </c>
    </row>
    <row r="46" customFormat="false" ht="15" hidden="false" customHeight="false" outlineLevel="0" collapsed="false">
      <c r="A46" s="30" t="n">
        <v>45641</v>
      </c>
      <c r="B46" s="12" t="n">
        <v>5945004.74</v>
      </c>
      <c r="C46" s="14" t="n">
        <v>0</v>
      </c>
    </row>
    <row r="47" customFormat="false" ht="15" hidden="false" customHeight="false" outlineLevel="0" collapsed="false">
      <c r="A47" s="30" t="n">
        <v>45642</v>
      </c>
      <c r="B47" s="12" t="n">
        <v>6006831.57</v>
      </c>
      <c r="C47" s="14" t="n">
        <v>0</v>
      </c>
    </row>
    <row r="48" customFormat="false" ht="15" hidden="false" customHeight="false" outlineLevel="0" collapsed="false">
      <c r="A48" s="30" t="n">
        <v>45643</v>
      </c>
      <c r="B48" s="12" t="n">
        <v>6006831.57</v>
      </c>
      <c r="C48" s="14" t="n">
        <v>0</v>
      </c>
    </row>
    <row r="49" customFormat="false" ht="15" hidden="false" customHeight="false" outlineLevel="0" collapsed="false">
      <c r="A49" s="30" t="n">
        <v>45644</v>
      </c>
      <c r="B49" s="12" t="n">
        <v>6006831.57</v>
      </c>
      <c r="C49" s="14" t="n">
        <v>0</v>
      </c>
    </row>
    <row r="50" customFormat="false" ht="15" hidden="false" customHeight="false" outlineLevel="0" collapsed="false">
      <c r="A50" s="30" t="n">
        <v>45645</v>
      </c>
      <c r="B50" s="12" t="n">
        <v>6006831.57</v>
      </c>
      <c r="C50" s="14" t="n">
        <v>0</v>
      </c>
    </row>
    <row r="51" customFormat="false" ht="15" hidden="false" customHeight="false" outlineLevel="0" collapsed="false">
      <c r="A51" s="30" t="n">
        <v>45646</v>
      </c>
      <c r="B51" s="12" t="n">
        <v>5871625.57</v>
      </c>
      <c r="C51" s="14" t="n">
        <v>0</v>
      </c>
    </row>
    <row r="52" customFormat="false" ht="15" hidden="false" customHeight="false" outlineLevel="0" collapsed="false">
      <c r="A52" s="30" t="n">
        <v>45647</v>
      </c>
      <c r="B52" s="12" t="n">
        <v>5871625.57</v>
      </c>
      <c r="C52" s="14" t="n">
        <v>0</v>
      </c>
    </row>
    <row r="53" customFormat="false" ht="15" hidden="false" customHeight="false" outlineLevel="0" collapsed="false">
      <c r="A53" s="30" t="n">
        <v>45648</v>
      </c>
      <c r="B53" s="12" t="n">
        <v>5871625.57</v>
      </c>
      <c r="C53" s="14" t="n">
        <v>0</v>
      </c>
    </row>
    <row r="54" customFormat="false" ht="15" hidden="false" customHeight="false" outlineLevel="0" collapsed="false">
      <c r="A54" s="30" t="n">
        <v>45649</v>
      </c>
      <c r="B54" s="12" t="n">
        <v>5871625.57</v>
      </c>
      <c r="C54" s="14" t="n">
        <v>0</v>
      </c>
    </row>
    <row r="55" customFormat="false" ht="15" hidden="false" customHeight="false" outlineLevel="0" collapsed="false">
      <c r="A55" s="30" t="n">
        <v>45650</v>
      </c>
      <c r="B55" s="12" t="n">
        <v>5871625.57</v>
      </c>
      <c r="C55" s="14" t="n">
        <v>0</v>
      </c>
    </row>
    <row r="56" customFormat="false" ht="15" hidden="false" customHeight="false" outlineLevel="0" collapsed="false">
      <c r="A56" s="30" t="n">
        <v>45651</v>
      </c>
      <c r="B56" s="12" t="n">
        <v>5871625.57</v>
      </c>
      <c r="C56" s="14" t="n">
        <v>0</v>
      </c>
    </row>
    <row r="57" customFormat="false" ht="15" hidden="false" customHeight="false" outlineLevel="0" collapsed="false">
      <c r="A57" s="30" t="n">
        <v>45652</v>
      </c>
      <c r="B57" s="12" t="n">
        <v>5871625.57</v>
      </c>
      <c r="C57" s="14" t="n">
        <v>0</v>
      </c>
    </row>
    <row r="58" customFormat="false" ht="15" hidden="false" customHeight="false" outlineLevel="0" collapsed="false">
      <c r="A58" s="30" t="n">
        <v>45653</v>
      </c>
      <c r="B58" s="12" t="n">
        <v>5871625.57</v>
      </c>
      <c r="C58" s="14" t="n">
        <v>0</v>
      </c>
    </row>
    <row r="59" customFormat="false" ht="15" hidden="false" customHeight="false" outlineLevel="0" collapsed="false">
      <c r="A59" s="30" t="n">
        <v>45654</v>
      </c>
      <c r="B59" s="12" t="n">
        <v>5871625.57</v>
      </c>
      <c r="C59" s="14" t="n">
        <v>0</v>
      </c>
    </row>
    <row r="60" customFormat="false" ht="15" hidden="false" customHeight="false" outlineLevel="0" collapsed="false">
      <c r="A60" s="30" t="n">
        <v>45655</v>
      </c>
      <c r="B60" s="12" t="n">
        <v>5871625.57</v>
      </c>
      <c r="C60" s="14" t="n">
        <v>0</v>
      </c>
    </row>
    <row r="61" customFormat="false" ht="15" hidden="false" customHeight="false" outlineLevel="0" collapsed="false">
      <c r="A61" s="30" t="n">
        <v>45656</v>
      </c>
      <c r="B61" s="12" t="n">
        <v>5871625.57</v>
      </c>
      <c r="C61" s="14" t="n">
        <v>0</v>
      </c>
    </row>
    <row r="62" customFormat="false" ht="15" hidden="false" customHeight="false" outlineLevel="0" collapsed="false">
      <c r="A62" s="30" t="n">
        <v>45657</v>
      </c>
      <c r="B62" s="12" t="n">
        <v>5871625.57</v>
      </c>
      <c r="C62" s="14" t="n">
        <v>0</v>
      </c>
    </row>
    <row r="63" customFormat="false" ht="15" hidden="false" customHeight="false" outlineLevel="0" collapsed="false">
      <c r="A63" s="30" t="n">
        <v>45658</v>
      </c>
      <c r="B63" s="12" t="n">
        <v>2995794.57</v>
      </c>
      <c r="C63" s="14" t="n">
        <v>0</v>
      </c>
    </row>
    <row r="64" customFormat="false" ht="15" hidden="false" customHeight="false" outlineLevel="0" collapsed="false">
      <c r="A64" s="30" t="n">
        <v>45659</v>
      </c>
      <c r="B64" s="12" t="n">
        <v>2995794.57</v>
      </c>
      <c r="C64" s="14" t="n">
        <v>0</v>
      </c>
    </row>
    <row r="65" customFormat="false" ht="15" hidden="false" customHeight="false" outlineLevel="0" collapsed="false">
      <c r="A65" s="30" t="n">
        <v>45660</v>
      </c>
      <c r="B65" s="12" t="n">
        <v>2645825.55</v>
      </c>
      <c r="C65" s="14" t="n">
        <v>0</v>
      </c>
    </row>
    <row r="66" customFormat="false" ht="15" hidden="false" customHeight="false" outlineLevel="0" collapsed="false">
      <c r="A66" s="30" t="n">
        <v>45661</v>
      </c>
      <c r="B66" s="12" t="n">
        <v>2645825.55</v>
      </c>
      <c r="C66" s="14" t="n">
        <v>0</v>
      </c>
    </row>
    <row r="67" customFormat="false" ht="15" hidden="false" customHeight="false" outlineLevel="0" collapsed="false">
      <c r="A67" s="30" t="n">
        <v>45662</v>
      </c>
      <c r="B67" s="12" t="n">
        <v>2645825.55</v>
      </c>
      <c r="C67" s="14" t="n">
        <v>0</v>
      </c>
    </row>
    <row r="68" customFormat="false" ht="15" hidden="false" customHeight="false" outlineLevel="0" collapsed="false">
      <c r="A68" s="30" t="n">
        <v>45663</v>
      </c>
      <c r="B68" s="12" t="n">
        <v>2325825.55</v>
      </c>
      <c r="C68" s="14" t="n">
        <v>0</v>
      </c>
    </row>
    <row r="69" customFormat="false" ht="15" hidden="false" customHeight="false" outlineLevel="0" collapsed="false">
      <c r="A69" s="30" t="n">
        <v>45664</v>
      </c>
      <c r="B69" s="12" t="n">
        <v>2592151.83</v>
      </c>
      <c r="C69" s="14" t="n">
        <v>0</v>
      </c>
    </row>
    <row r="70" customFormat="false" ht="15" hidden="false" customHeight="false" outlineLevel="0" collapsed="false">
      <c r="A70" s="30" t="n">
        <v>45665</v>
      </c>
      <c r="B70" s="12" t="n">
        <v>2592151.83</v>
      </c>
      <c r="C70" s="14" t="n">
        <v>0</v>
      </c>
    </row>
    <row r="71" customFormat="false" ht="15" hidden="false" customHeight="false" outlineLevel="0" collapsed="false">
      <c r="A71" s="30" t="n">
        <v>45666</v>
      </c>
      <c r="B71" s="12" t="n">
        <v>3126108.8</v>
      </c>
      <c r="C71" s="14" t="n">
        <v>0</v>
      </c>
    </row>
    <row r="72" customFormat="false" ht="15" hidden="false" customHeight="false" outlineLevel="0" collapsed="false">
      <c r="A72" s="30" t="n">
        <v>45667</v>
      </c>
      <c r="B72" s="12" t="n">
        <v>2366509.08</v>
      </c>
      <c r="C72" s="14" t="n">
        <v>0</v>
      </c>
    </row>
    <row r="73" customFormat="false" ht="15" hidden="false" customHeight="false" outlineLevel="0" collapsed="false">
      <c r="A73" s="30" t="n">
        <v>45668</v>
      </c>
      <c r="B73" s="12" t="n">
        <v>2366509.08</v>
      </c>
      <c r="C73" s="14" t="n">
        <v>0</v>
      </c>
    </row>
    <row r="74" customFormat="false" ht="15" hidden="false" customHeight="false" outlineLevel="0" collapsed="false">
      <c r="A74" s="30" t="n">
        <v>45669</v>
      </c>
      <c r="B74" s="12" t="n">
        <v>2366509.08</v>
      </c>
      <c r="C74" s="14" t="n">
        <v>0</v>
      </c>
    </row>
    <row r="75" customFormat="false" ht="15" hidden="false" customHeight="false" outlineLevel="0" collapsed="false">
      <c r="A75" s="30" t="n">
        <v>45670</v>
      </c>
      <c r="B75" s="12" t="n">
        <v>3096144.15</v>
      </c>
      <c r="C75" s="14" t="n">
        <v>0</v>
      </c>
    </row>
    <row r="76" customFormat="false" ht="15" hidden="false" customHeight="false" outlineLevel="0" collapsed="false">
      <c r="A76" s="30" t="n">
        <v>45671</v>
      </c>
      <c r="B76" s="12" t="n">
        <v>4111940.69</v>
      </c>
      <c r="C76" s="14" t="n">
        <v>0</v>
      </c>
    </row>
    <row r="77" customFormat="false" ht="15" hidden="false" customHeight="false" outlineLevel="0" collapsed="false">
      <c r="A77" s="30" t="n">
        <v>45672</v>
      </c>
      <c r="B77" s="12" t="n">
        <v>4111940.69</v>
      </c>
      <c r="C77" s="14" t="n">
        <v>0</v>
      </c>
    </row>
    <row r="78" customFormat="false" ht="15" hidden="false" customHeight="false" outlineLevel="0" collapsed="false">
      <c r="A78" s="30" t="n">
        <v>45673</v>
      </c>
      <c r="B78" s="12" t="n">
        <v>4111940.69</v>
      </c>
      <c r="C78" s="14" t="n">
        <v>0</v>
      </c>
    </row>
    <row r="79" customFormat="false" ht="15" hidden="false" customHeight="false" outlineLevel="0" collapsed="false">
      <c r="A79" s="30" t="n">
        <v>45674</v>
      </c>
      <c r="B79" s="12" t="n">
        <v>4111940.69</v>
      </c>
      <c r="C79" s="14" t="n">
        <v>0</v>
      </c>
    </row>
    <row r="80" customFormat="false" ht="15" hidden="false" customHeight="false" outlineLevel="0" collapsed="false">
      <c r="A80" s="30" t="n">
        <v>45675</v>
      </c>
      <c r="B80" s="12" t="n">
        <v>4111940.69</v>
      </c>
      <c r="C80" s="14" t="n">
        <v>0</v>
      </c>
    </row>
    <row r="81" customFormat="false" ht="15" hidden="false" customHeight="false" outlineLevel="0" collapsed="false">
      <c r="A81" s="30" t="n">
        <v>45676</v>
      </c>
      <c r="B81" s="12" t="n">
        <v>4111940.69</v>
      </c>
      <c r="C81" s="14" t="n">
        <v>0</v>
      </c>
    </row>
    <row r="82" customFormat="false" ht="15" hidden="false" customHeight="false" outlineLevel="0" collapsed="false">
      <c r="A82" s="30" t="n">
        <v>45677</v>
      </c>
      <c r="B82" s="12" t="n">
        <v>9227853.32</v>
      </c>
      <c r="C82" s="14" t="n">
        <v>0</v>
      </c>
    </row>
    <row r="83" customFormat="false" ht="15" hidden="false" customHeight="false" outlineLevel="0" collapsed="false">
      <c r="A83" s="30" t="n">
        <v>45678</v>
      </c>
      <c r="B83" s="12" t="n">
        <v>9227853.32</v>
      </c>
      <c r="C83" s="14" t="n">
        <v>0</v>
      </c>
    </row>
    <row r="84" customFormat="false" ht="15" hidden="false" customHeight="false" outlineLevel="0" collapsed="false">
      <c r="A84" s="30" t="n">
        <v>45679</v>
      </c>
      <c r="B84" s="12" t="n">
        <v>9227853.32</v>
      </c>
      <c r="C84" s="14" t="n">
        <v>0</v>
      </c>
    </row>
    <row r="85" customFormat="false" ht="15" hidden="false" customHeight="false" outlineLevel="0" collapsed="false">
      <c r="A85" s="30" t="n">
        <v>45680</v>
      </c>
      <c r="B85" s="12" t="n">
        <v>9227853.32</v>
      </c>
      <c r="C85" s="14" t="n">
        <v>0</v>
      </c>
    </row>
    <row r="86" customFormat="false" ht="15" hidden="false" customHeight="false" outlineLevel="0" collapsed="false">
      <c r="A86" s="30" t="n">
        <v>45681</v>
      </c>
      <c r="B86" s="12" t="n">
        <v>9227853.32</v>
      </c>
      <c r="C86" s="14" t="n">
        <v>0</v>
      </c>
    </row>
    <row r="87" customFormat="false" ht="15" hidden="false" customHeight="false" outlineLevel="0" collapsed="false">
      <c r="A87" s="30" t="n">
        <v>45682</v>
      </c>
      <c r="B87" s="12" t="n">
        <v>9227853.32</v>
      </c>
      <c r="C87" s="14" t="n">
        <v>0</v>
      </c>
    </row>
    <row r="88" customFormat="false" ht="15" hidden="false" customHeight="false" outlineLevel="0" collapsed="false">
      <c r="A88" s="30" t="n">
        <v>45683</v>
      </c>
      <c r="B88" s="12" t="n">
        <v>9227853.32</v>
      </c>
      <c r="C88" s="14" t="n">
        <v>0</v>
      </c>
    </row>
    <row r="89" customFormat="false" ht="15" hidden="false" customHeight="false" outlineLevel="0" collapsed="false">
      <c r="A89" s="30" t="n">
        <v>45684</v>
      </c>
      <c r="B89" s="12" t="n">
        <v>9227853.32</v>
      </c>
      <c r="C89" s="14" t="n">
        <v>0</v>
      </c>
    </row>
    <row r="90" customFormat="false" ht="15" hidden="false" customHeight="false" outlineLevel="0" collapsed="false">
      <c r="A90" s="30" t="n">
        <v>45685</v>
      </c>
      <c r="B90" s="12" t="n">
        <v>9227853.32</v>
      </c>
      <c r="C90" s="14" t="n">
        <v>0</v>
      </c>
    </row>
    <row r="91" customFormat="false" ht="15" hidden="false" customHeight="false" outlineLevel="0" collapsed="false">
      <c r="A91" s="30" t="n">
        <v>45686</v>
      </c>
      <c r="B91" s="12" t="n">
        <v>9227853.32</v>
      </c>
      <c r="C91" s="14" t="n">
        <v>0</v>
      </c>
    </row>
    <row r="92" customFormat="false" ht="15" hidden="false" customHeight="false" outlineLevel="0" collapsed="false">
      <c r="A92" s="30" t="n">
        <v>45687</v>
      </c>
      <c r="B92" s="12" t="n">
        <v>9227853.32</v>
      </c>
      <c r="C92" s="14" t="n">
        <v>0</v>
      </c>
    </row>
    <row r="93" customFormat="false" ht="15" hidden="false" customHeight="false" outlineLevel="0" collapsed="false">
      <c r="A93" s="30" t="n">
        <v>45688</v>
      </c>
      <c r="B93" s="12" t="n">
        <v>9227853.32</v>
      </c>
      <c r="C93" s="14" t="n">
        <v>0</v>
      </c>
    </row>
    <row r="94" customFormat="false" ht="15" hidden="false" customHeight="false" outlineLevel="0" collapsed="false">
      <c r="A94" s="30" t="n">
        <v>45689</v>
      </c>
      <c r="B94" s="12" t="n">
        <v>9227853.32</v>
      </c>
      <c r="C94" s="14" t="n">
        <v>0</v>
      </c>
    </row>
    <row r="95" customFormat="false" ht="15" hidden="false" customHeight="false" outlineLevel="0" collapsed="false">
      <c r="A95" s="30" t="n">
        <v>45690</v>
      </c>
      <c r="B95" s="12" t="n">
        <v>9227853.32</v>
      </c>
      <c r="C95" s="14" t="n">
        <v>0</v>
      </c>
    </row>
    <row r="96" customFormat="false" ht="15" hidden="false" customHeight="false" outlineLevel="0" collapsed="false">
      <c r="A96" s="30" t="n">
        <v>45691</v>
      </c>
      <c r="B96" s="12" t="n">
        <v>6029037.76</v>
      </c>
      <c r="C96" s="14" t="n">
        <v>0</v>
      </c>
    </row>
    <row r="97" customFormat="false" ht="15" hidden="false" customHeight="false" outlineLevel="0" collapsed="false">
      <c r="A97" s="30" t="n">
        <v>45692</v>
      </c>
      <c r="B97" s="12" t="n">
        <v>6029037.76</v>
      </c>
      <c r="C97" s="14" t="n">
        <v>0</v>
      </c>
    </row>
    <row r="98" customFormat="false" ht="15" hidden="false" customHeight="false" outlineLevel="0" collapsed="false">
      <c r="A98" s="30" t="n">
        <v>45693</v>
      </c>
      <c r="B98" s="12" t="n">
        <v>5709037.76</v>
      </c>
      <c r="C98" s="14" t="n">
        <v>0</v>
      </c>
    </row>
    <row r="99" customFormat="false" ht="15" hidden="false" customHeight="false" outlineLevel="0" collapsed="false">
      <c r="A99" s="30" t="n">
        <v>45694</v>
      </c>
      <c r="B99" s="12" t="n">
        <v>5709037.76</v>
      </c>
      <c r="C99" s="14" t="n">
        <v>0</v>
      </c>
    </row>
    <row r="100" customFormat="false" ht="15" hidden="false" customHeight="false" outlineLevel="0" collapsed="false">
      <c r="A100" s="30" t="n">
        <v>45695</v>
      </c>
      <c r="B100" s="12" t="n">
        <v>5608955.21</v>
      </c>
      <c r="C100" s="14" t="n">
        <v>0</v>
      </c>
    </row>
    <row r="101" customFormat="false" ht="15" hidden="false" customHeight="false" outlineLevel="0" collapsed="false">
      <c r="A101" s="30" t="n">
        <v>45696</v>
      </c>
      <c r="B101" s="12" t="n">
        <v>5608955.21</v>
      </c>
      <c r="C101" s="14" t="n">
        <v>0</v>
      </c>
    </row>
    <row r="102" customFormat="false" ht="15" hidden="false" customHeight="false" outlineLevel="0" collapsed="false">
      <c r="A102" s="30" t="n">
        <v>45697</v>
      </c>
      <c r="B102" s="12" t="n">
        <v>5608955.21</v>
      </c>
      <c r="C102" s="14" t="n">
        <v>0</v>
      </c>
    </row>
    <row r="103" customFormat="false" ht="15" hidden="false" customHeight="false" outlineLevel="0" collapsed="false">
      <c r="A103" s="30" t="n">
        <v>45698</v>
      </c>
      <c r="B103" s="12" t="n">
        <v>7334014.35</v>
      </c>
      <c r="C103" s="14" t="n">
        <v>0</v>
      </c>
    </row>
    <row r="104" customFormat="false" ht="15" hidden="false" customHeight="false" outlineLevel="0" collapsed="false">
      <c r="A104" s="30" t="n">
        <v>45699</v>
      </c>
      <c r="B104" s="12" t="n">
        <v>7334014.35</v>
      </c>
      <c r="C104" s="14" t="n">
        <v>0</v>
      </c>
    </row>
    <row r="105" customFormat="false" ht="15" hidden="false" customHeight="false" outlineLevel="0" collapsed="false">
      <c r="A105" s="30" t="n">
        <v>45700</v>
      </c>
      <c r="B105" s="12" t="n">
        <v>7743126.48</v>
      </c>
      <c r="C105" s="14" t="n">
        <v>0</v>
      </c>
    </row>
    <row r="106" customFormat="false" ht="15" hidden="false" customHeight="false" outlineLevel="0" collapsed="false">
      <c r="A106" s="30" t="n">
        <v>45701</v>
      </c>
      <c r="B106" s="12" t="n">
        <v>7743126.48</v>
      </c>
      <c r="C106" s="14" t="n">
        <v>0</v>
      </c>
    </row>
    <row r="107" customFormat="false" ht="15" hidden="false" customHeight="false" outlineLevel="0" collapsed="false">
      <c r="A107" s="30" t="n">
        <v>45702</v>
      </c>
      <c r="B107" s="12" t="n">
        <v>8589738.72</v>
      </c>
      <c r="C107" s="14" t="n">
        <v>0</v>
      </c>
    </row>
    <row r="108" customFormat="false" ht="15" hidden="false" customHeight="false" outlineLevel="0" collapsed="false">
      <c r="A108" s="30" t="n">
        <v>45703</v>
      </c>
      <c r="B108" s="12" t="n">
        <v>8589738.72</v>
      </c>
      <c r="C108" s="14" t="n">
        <v>0</v>
      </c>
    </row>
    <row r="109" customFormat="false" ht="15" hidden="false" customHeight="false" outlineLevel="0" collapsed="false">
      <c r="A109" s="30" t="n">
        <v>45704</v>
      </c>
      <c r="B109" s="12" t="n">
        <v>8589738.72</v>
      </c>
      <c r="C109" s="14" t="n">
        <v>0</v>
      </c>
    </row>
    <row r="110" customFormat="false" ht="15" hidden="false" customHeight="false" outlineLevel="0" collapsed="false">
      <c r="A110" s="30" t="n">
        <v>45705</v>
      </c>
      <c r="B110" s="12" t="n">
        <v>8589738.72</v>
      </c>
      <c r="C110" s="14" t="n">
        <v>0</v>
      </c>
    </row>
    <row r="111" customFormat="false" ht="15" hidden="false" customHeight="false" outlineLevel="0" collapsed="false">
      <c r="A111" s="30" t="n">
        <v>45706</v>
      </c>
      <c r="B111" s="12" t="n">
        <v>8589738.72</v>
      </c>
      <c r="C111" s="14" t="n">
        <v>0</v>
      </c>
    </row>
    <row r="112" customFormat="false" ht="15" hidden="false" customHeight="false" outlineLevel="0" collapsed="false">
      <c r="A112" s="30" t="n">
        <v>45707</v>
      </c>
      <c r="B112" s="12" t="n">
        <v>8589738.72</v>
      </c>
      <c r="C112" s="14" t="n">
        <v>0</v>
      </c>
    </row>
    <row r="113" customFormat="false" ht="15" hidden="false" customHeight="false" outlineLevel="0" collapsed="false">
      <c r="A113" s="30" t="n">
        <v>45708</v>
      </c>
      <c r="B113" s="12" t="n">
        <v>8427799.72</v>
      </c>
      <c r="C113" s="14" t="n">
        <v>0</v>
      </c>
    </row>
    <row r="114" customFormat="false" ht="15" hidden="false" customHeight="false" outlineLevel="0" collapsed="false">
      <c r="A114" s="30" t="n">
        <v>45709</v>
      </c>
      <c r="B114" s="12" t="n">
        <v>8427799.72</v>
      </c>
      <c r="C114" s="14" t="n">
        <v>0</v>
      </c>
    </row>
    <row r="115" customFormat="false" ht="15" hidden="false" customHeight="false" outlineLevel="0" collapsed="false">
      <c r="A115" s="30" t="n">
        <v>45710</v>
      </c>
      <c r="B115" s="12" t="n">
        <v>8427799.72</v>
      </c>
      <c r="C115" s="14" t="n">
        <v>0</v>
      </c>
    </row>
    <row r="116" customFormat="false" ht="15" hidden="false" customHeight="false" outlineLevel="0" collapsed="false">
      <c r="A116" s="30" t="n">
        <v>45711</v>
      </c>
      <c r="B116" s="12" t="n">
        <v>8427799.72</v>
      </c>
      <c r="C116" s="14" t="n">
        <v>0</v>
      </c>
    </row>
    <row r="117" customFormat="false" ht="15" hidden="false" customHeight="false" outlineLevel="0" collapsed="false">
      <c r="A117" s="30" t="n">
        <v>45712</v>
      </c>
      <c r="B117" s="12" t="n">
        <v>8427799.72</v>
      </c>
      <c r="C117" s="14" t="n">
        <v>0</v>
      </c>
    </row>
    <row r="118" customFormat="false" ht="15" hidden="false" customHeight="false" outlineLevel="0" collapsed="false">
      <c r="A118" s="30" t="n">
        <v>45713</v>
      </c>
      <c r="B118" s="12" t="n">
        <v>8427799.72</v>
      </c>
      <c r="C118" s="14" t="n">
        <v>0</v>
      </c>
    </row>
    <row r="119" customFormat="false" ht="15" hidden="false" customHeight="false" outlineLevel="0" collapsed="false">
      <c r="A119" s="30" t="n">
        <v>45714</v>
      </c>
      <c r="B119" s="12" t="n">
        <v>9115147.02</v>
      </c>
      <c r="C119" s="14" t="n">
        <v>0</v>
      </c>
    </row>
    <row r="120" customFormat="false" ht="15" hidden="false" customHeight="false" outlineLevel="0" collapsed="false">
      <c r="A120" s="30" t="n">
        <v>45715</v>
      </c>
      <c r="B120" s="12" t="n">
        <v>9115147.02</v>
      </c>
      <c r="C120" s="14" t="n">
        <v>0</v>
      </c>
    </row>
    <row r="121" customFormat="false" ht="15" hidden="false" customHeight="false" outlineLevel="0" collapsed="false">
      <c r="A121" s="30" t="n">
        <v>45716</v>
      </c>
      <c r="B121" s="12" t="n">
        <v>9115147.02</v>
      </c>
      <c r="C121" s="14" t="n">
        <v>0</v>
      </c>
    </row>
    <row r="122" customFormat="false" ht="15" hidden="false" customHeight="false" outlineLevel="0" collapsed="false">
      <c r="A122" s="30" t="n">
        <v>45717</v>
      </c>
      <c r="B122" s="12" t="n">
        <v>9115147.02</v>
      </c>
      <c r="C122" s="14" t="n">
        <v>0</v>
      </c>
    </row>
    <row r="123" customFormat="false" ht="15" hidden="false" customHeight="false" outlineLevel="0" collapsed="false">
      <c r="A123" s="30" t="n">
        <v>45718</v>
      </c>
      <c r="B123" s="12" t="n">
        <v>9115147.02</v>
      </c>
      <c r="C123" s="14" t="n">
        <v>0</v>
      </c>
    </row>
    <row r="124" customFormat="false" ht="15" hidden="false" customHeight="false" outlineLevel="0" collapsed="false">
      <c r="A124" s="30" t="n">
        <v>45719</v>
      </c>
      <c r="B124" s="12" t="n">
        <v>5886508.94</v>
      </c>
      <c r="C124" s="14" t="n">
        <v>0</v>
      </c>
    </row>
    <row r="125" customFormat="false" ht="15" hidden="false" customHeight="false" outlineLevel="0" collapsed="false">
      <c r="A125" s="30" t="n">
        <v>45720</v>
      </c>
      <c r="B125" s="12" t="n">
        <v>5886508.94</v>
      </c>
      <c r="C125" s="14" t="n">
        <v>0</v>
      </c>
    </row>
    <row r="126" customFormat="false" ht="15" hidden="false" customHeight="false" outlineLevel="0" collapsed="false">
      <c r="A126" s="30" t="n">
        <v>45721</v>
      </c>
      <c r="B126" s="12" t="n">
        <v>5566508.94</v>
      </c>
      <c r="C126" s="14" t="n">
        <v>0</v>
      </c>
    </row>
    <row r="127" customFormat="false" ht="15" hidden="false" customHeight="false" outlineLevel="0" collapsed="false">
      <c r="A127" s="30" t="n">
        <v>45722</v>
      </c>
      <c r="B127" s="12" t="n">
        <v>5566508.94</v>
      </c>
      <c r="C127" s="14" t="n">
        <v>0</v>
      </c>
    </row>
    <row r="128" customFormat="false" ht="15" hidden="false" customHeight="false" outlineLevel="0" collapsed="false">
      <c r="A128" s="30" t="n">
        <v>45723</v>
      </c>
      <c r="B128" s="12" t="n">
        <v>5466122.45</v>
      </c>
      <c r="C128" s="14" t="n">
        <v>0</v>
      </c>
    </row>
    <row r="129" customFormat="false" ht="15" hidden="false" customHeight="false" outlineLevel="0" collapsed="false">
      <c r="A129" s="30" t="n">
        <v>45724</v>
      </c>
      <c r="B129" s="12" t="n">
        <v>5466122.45</v>
      </c>
      <c r="C129" s="14" t="n">
        <v>0</v>
      </c>
    </row>
    <row r="130" customFormat="false" ht="15" hidden="false" customHeight="false" outlineLevel="0" collapsed="false">
      <c r="A130" s="30" t="n">
        <v>45725</v>
      </c>
      <c r="B130" s="12" t="n">
        <v>5466122.45</v>
      </c>
      <c r="C130" s="14" t="n">
        <v>0</v>
      </c>
    </row>
    <row r="131" customFormat="false" ht="15" hidden="false" customHeight="false" outlineLevel="0" collapsed="false">
      <c r="A131" s="30" t="n">
        <v>45726</v>
      </c>
      <c r="B131" s="12" t="n">
        <v>6375971.21</v>
      </c>
      <c r="C131" s="14" t="n">
        <v>0</v>
      </c>
    </row>
    <row r="132" customFormat="false" ht="15" hidden="false" customHeight="false" outlineLevel="0" collapsed="false">
      <c r="A132" s="30" t="n">
        <v>45727</v>
      </c>
      <c r="B132" s="12" t="n">
        <v>7523820.88</v>
      </c>
      <c r="C132" s="14" t="n">
        <v>0</v>
      </c>
    </row>
    <row r="133" customFormat="false" ht="15" hidden="false" customHeight="false" outlineLevel="0" collapsed="false">
      <c r="A133" s="30" t="n">
        <v>45728</v>
      </c>
      <c r="B133" s="12" t="n">
        <v>7523820.88</v>
      </c>
      <c r="C133" s="14" t="n">
        <v>0</v>
      </c>
    </row>
    <row r="134" customFormat="false" ht="15" hidden="false" customHeight="false" outlineLevel="0" collapsed="false">
      <c r="A134" s="30" t="n">
        <v>45729</v>
      </c>
      <c r="B134" s="12" t="n">
        <v>7523820.88</v>
      </c>
      <c r="C134" s="14" t="n">
        <v>0</v>
      </c>
    </row>
    <row r="135" customFormat="false" ht="15" hidden="false" customHeight="false" outlineLevel="0" collapsed="false">
      <c r="A135" s="30" t="n">
        <v>45730</v>
      </c>
      <c r="B135" s="12" t="n">
        <v>7523820.88</v>
      </c>
      <c r="C135" s="14" t="n">
        <v>0</v>
      </c>
    </row>
    <row r="136" customFormat="false" ht="15" hidden="false" customHeight="false" outlineLevel="0" collapsed="false">
      <c r="A136" s="30" t="n">
        <v>45731</v>
      </c>
      <c r="B136" s="12" t="n">
        <v>7523820.88</v>
      </c>
      <c r="C136" s="14" t="n">
        <v>0</v>
      </c>
    </row>
    <row r="137" customFormat="false" ht="15" hidden="false" customHeight="false" outlineLevel="0" collapsed="false">
      <c r="A137" s="30" t="n">
        <v>45732</v>
      </c>
      <c r="B137" s="12" t="n">
        <v>7523820.88</v>
      </c>
      <c r="C137" s="14" t="n">
        <v>0</v>
      </c>
    </row>
    <row r="138" customFormat="false" ht="15" hidden="false" customHeight="false" outlineLevel="0" collapsed="false">
      <c r="A138" s="30" t="n">
        <v>45733</v>
      </c>
      <c r="B138" s="12" t="n">
        <v>7903419.52</v>
      </c>
      <c r="C138" s="14" t="n">
        <v>0</v>
      </c>
    </row>
    <row r="139" customFormat="false" ht="15" hidden="false" customHeight="false" outlineLevel="0" collapsed="false">
      <c r="A139" s="30" t="n">
        <v>45734</v>
      </c>
      <c r="B139" s="12" t="n">
        <v>7517419.52</v>
      </c>
      <c r="C139" s="14" t="n">
        <v>0</v>
      </c>
    </row>
    <row r="140" customFormat="false" ht="15" hidden="false" customHeight="false" outlineLevel="0" collapsed="false">
      <c r="A140" s="30" t="n">
        <v>45735</v>
      </c>
      <c r="B140" s="12" t="n">
        <v>7517419.52</v>
      </c>
      <c r="C140" s="14" t="n">
        <v>0</v>
      </c>
    </row>
    <row r="141" customFormat="false" ht="15" hidden="false" customHeight="false" outlineLevel="0" collapsed="false">
      <c r="A141" s="30" t="n">
        <v>45736</v>
      </c>
      <c r="B141" s="12" t="n">
        <v>7348502.52</v>
      </c>
      <c r="C141" s="14" t="n">
        <v>0</v>
      </c>
    </row>
    <row r="142" customFormat="false" ht="15" hidden="false" customHeight="false" outlineLevel="0" collapsed="false">
      <c r="A142" s="30" t="n">
        <v>45737</v>
      </c>
      <c r="B142" s="12" t="n">
        <v>7348502.52</v>
      </c>
      <c r="C142" s="14" t="n">
        <v>0</v>
      </c>
    </row>
    <row r="143" customFormat="false" ht="15" hidden="false" customHeight="false" outlineLevel="0" collapsed="false">
      <c r="A143" s="30" t="n">
        <v>45738</v>
      </c>
      <c r="B143" s="12" t="n">
        <v>7348502.52</v>
      </c>
      <c r="C143" s="14" t="n">
        <v>0</v>
      </c>
    </row>
    <row r="144" customFormat="false" ht="15" hidden="false" customHeight="false" outlineLevel="0" collapsed="false">
      <c r="A144" s="30" t="n">
        <v>45739</v>
      </c>
      <c r="B144" s="12" t="n">
        <v>7348502.52</v>
      </c>
      <c r="C144" s="14" t="n">
        <v>0</v>
      </c>
    </row>
    <row r="145" customFormat="false" ht="15" hidden="false" customHeight="false" outlineLevel="0" collapsed="false">
      <c r="A145" s="30" t="n">
        <v>45740</v>
      </c>
      <c r="B145" s="12" t="n">
        <v>7348502.52</v>
      </c>
      <c r="C145" s="14" t="n">
        <v>0</v>
      </c>
    </row>
    <row r="146" customFormat="false" ht="15" hidden="false" customHeight="false" outlineLevel="0" collapsed="false">
      <c r="A146" s="30" t="n">
        <v>45741</v>
      </c>
      <c r="B146" s="12" t="n">
        <v>7348502.52</v>
      </c>
      <c r="C146" s="14" t="n">
        <v>0</v>
      </c>
    </row>
    <row r="147" customFormat="false" ht="15" hidden="false" customHeight="false" outlineLevel="0" collapsed="false">
      <c r="A147" s="30" t="n">
        <v>45742</v>
      </c>
      <c r="B147" s="12" t="n">
        <v>7348502.52</v>
      </c>
      <c r="C147" s="14" t="n">
        <v>0</v>
      </c>
    </row>
    <row r="148" customFormat="false" ht="15" hidden="false" customHeight="false" outlineLevel="0" collapsed="false">
      <c r="A148" s="30" t="n">
        <v>45743</v>
      </c>
      <c r="B148" s="12" t="n">
        <v>7348502.52</v>
      </c>
      <c r="C148" s="14" t="n">
        <v>0</v>
      </c>
    </row>
    <row r="149" customFormat="false" ht="15" hidden="false" customHeight="false" outlineLevel="0" collapsed="false">
      <c r="A149" s="30" t="n">
        <v>45744</v>
      </c>
      <c r="B149" s="12" t="n">
        <v>7348502.52</v>
      </c>
      <c r="C149" s="14" t="n">
        <v>0</v>
      </c>
    </row>
    <row r="150" customFormat="false" ht="15" hidden="false" customHeight="false" outlineLevel="0" collapsed="false">
      <c r="A150" s="30" t="n">
        <v>45745</v>
      </c>
      <c r="B150" s="12" t="n">
        <v>7348502.52</v>
      </c>
      <c r="C150" s="14" t="n">
        <v>0</v>
      </c>
    </row>
    <row r="151" customFormat="false" ht="15" hidden="false" customHeight="false" outlineLevel="0" collapsed="false">
      <c r="A151" s="30" t="n">
        <v>45746</v>
      </c>
      <c r="B151" s="12" t="n">
        <v>7348502.52</v>
      </c>
      <c r="C151" s="14" t="n">
        <v>0</v>
      </c>
    </row>
    <row r="152" customFormat="false" ht="15" hidden="false" customHeight="false" outlineLevel="0" collapsed="false">
      <c r="A152" s="30" t="n">
        <v>45747</v>
      </c>
      <c r="B152" s="12" t="n">
        <v>7348502.52</v>
      </c>
      <c r="C152" s="14" t="n">
        <v>0</v>
      </c>
    </row>
    <row r="153" customFormat="false" ht="15" hidden="false" customHeight="false" outlineLevel="0" collapsed="false">
      <c r="A153" s="30" t="n">
        <v>45748</v>
      </c>
      <c r="B153" s="12" t="n">
        <v>4840740.48</v>
      </c>
      <c r="C153" s="14" t="n">
        <v>0</v>
      </c>
    </row>
    <row r="154" customFormat="false" ht="15" hidden="false" customHeight="false" outlineLevel="0" collapsed="false">
      <c r="A154" s="30" t="n">
        <v>45749</v>
      </c>
      <c r="B154" s="12" t="n">
        <v>4840740.48</v>
      </c>
      <c r="C154" s="14" t="n">
        <v>0</v>
      </c>
    </row>
    <row r="155" customFormat="false" ht="15" hidden="false" customHeight="false" outlineLevel="0" collapsed="false">
      <c r="A155" s="30" t="n">
        <v>45750</v>
      </c>
      <c r="B155" s="12" t="n">
        <v>4474169.1</v>
      </c>
      <c r="C155" s="14" t="n">
        <v>0</v>
      </c>
    </row>
    <row r="156" customFormat="false" ht="15" hidden="false" customHeight="false" outlineLevel="0" collapsed="false">
      <c r="A156" s="30" t="n">
        <v>45751</v>
      </c>
      <c r="B156" s="12" t="n">
        <v>4474169.1</v>
      </c>
      <c r="C156" s="14" t="n">
        <v>0</v>
      </c>
    </row>
    <row r="157" customFormat="false" ht="15" hidden="false" customHeight="false" outlineLevel="0" collapsed="false">
      <c r="A157" s="30" t="n">
        <v>45752</v>
      </c>
      <c r="B157" s="12" t="n">
        <v>4474169.1</v>
      </c>
      <c r="C157" s="14" t="n">
        <v>0</v>
      </c>
    </row>
    <row r="158" customFormat="false" ht="15" hidden="false" customHeight="false" outlineLevel="0" collapsed="false">
      <c r="A158" s="30" t="n">
        <v>45753</v>
      </c>
      <c r="B158" s="12" t="n">
        <v>4474169.1</v>
      </c>
      <c r="C158" s="14" t="n">
        <v>0</v>
      </c>
    </row>
    <row r="159" customFormat="false" ht="15" hidden="false" customHeight="false" outlineLevel="0" collapsed="false">
      <c r="A159" s="30" t="n">
        <v>45754</v>
      </c>
      <c r="B159" s="12" t="n">
        <v>5750505.97</v>
      </c>
      <c r="C159" s="14" t="n">
        <v>0</v>
      </c>
    </row>
    <row r="160" customFormat="false" ht="15" hidden="false" customHeight="false" outlineLevel="0" collapsed="false">
      <c r="A160" s="30" t="n">
        <v>45755</v>
      </c>
      <c r="B160" s="12" t="n">
        <v>6122924.36</v>
      </c>
      <c r="C160" s="14" t="n">
        <v>0</v>
      </c>
    </row>
    <row r="161" customFormat="false" ht="15" hidden="false" customHeight="false" outlineLevel="0" collapsed="false">
      <c r="A161" s="30" t="n">
        <v>45756</v>
      </c>
      <c r="B161" s="12" t="n">
        <v>6122924.36</v>
      </c>
      <c r="C161" s="14" t="n">
        <v>0</v>
      </c>
    </row>
    <row r="162" customFormat="false" ht="15" hidden="false" customHeight="false" outlineLevel="0" collapsed="false">
      <c r="A162" s="30" t="n">
        <v>45757</v>
      </c>
      <c r="B162" s="12" t="n">
        <v>5971988.65</v>
      </c>
      <c r="C162" s="14" t="n">
        <v>0</v>
      </c>
    </row>
    <row r="163" customFormat="false" ht="15" hidden="false" customHeight="false" outlineLevel="0" collapsed="false">
      <c r="A163" s="30" t="n">
        <v>45758</v>
      </c>
      <c r="B163" s="12" t="n">
        <v>5971988.65</v>
      </c>
      <c r="C163" s="14" t="n">
        <v>0</v>
      </c>
    </row>
    <row r="164" customFormat="false" ht="15" hidden="false" customHeight="false" outlineLevel="0" collapsed="false">
      <c r="A164" s="30" t="n">
        <v>45759</v>
      </c>
      <c r="B164" s="12" t="n">
        <v>5971988.65</v>
      </c>
      <c r="C164" s="14" t="n">
        <v>0</v>
      </c>
    </row>
    <row r="165" customFormat="false" ht="15" hidden="false" customHeight="false" outlineLevel="0" collapsed="false">
      <c r="A165" s="30" t="n">
        <v>45760</v>
      </c>
      <c r="B165" s="12" t="n">
        <v>5971988.65</v>
      </c>
      <c r="C165" s="14" t="n">
        <v>0</v>
      </c>
    </row>
    <row r="166" customFormat="false" ht="15" hidden="false" customHeight="false" outlineLevel="0" collapsed="false">
      <c r="A166" s="30" t="n">
        <v>45761</v>
      </c>
      <c r="B166" s="12" t="n">
        <v>5971988.65</v>
      </c>
      <c r="C166" s="14" t="n">
        <v>0</v>
      </c>
    </row>
    <row r="167" customFormat="false" ht="15" hidden="false" customHeight="false" outlineLevel="0" collapsed="false">
      <c r="A167" s="30" t="n">
        <v>45762</v>
      </c>
      <c r="B167" s="12" t="n">
        <v>6283829.06</v>
      </c>
      <c r="C167" s="14" t="n">
        <v>0</v>
      </c>
    </row>
    <row r="168" customFormat="false" ht="15" hidden="false" customHeight="false" outlineLevel="0" collapsed="false">
      <c r="A168" s="30" t="n">
        <v>45763</v>
      </c>
      <c r="B168" s="12" t="n">
        <v>6977424.63</v>
      </c>
      <c r="C168" s="14" t="n">
        <v>0</v>
      </c>
    </row>
    <row r="169" customFormat="false" ht="15" hidden="false" customHeight="false" outlineLevel="0" collapsed="false">
      <c r="A169" s="30" t="n">
        <v>45764</v>
      </c>
      <c r="B169" s="12" t="n">
        <v>6977424.63</v>
      </c>
      <c r="C169" s="14" t="n">
        <v>0</v>
      </c>
    </row>
    <row r="170" customFormat="false" ht="15" hidden="false" customHeight="false" outlineLevel="0" collapsed="false">
      <c r="A170" s="30" t="n">
        <v>45765</v>
      </c>
      <c r="B170" s="12" t="n">
        <v>6977424.63</v>
      </c>
      <c r="C170" s="14" t="n">
        <v>0</v>
      </c>
    </row>
    <row r="171" customFormat="false" ht="15" hidden="false" customHeight="false" outlineLevel="0" collapsed="false">
      <c r="A171" s="30" t="n">
        <v>45766</v>
      </c>
      <c r="B171" s="12" t="n">
        <v>6977424.63</v>
      </c>
      <c r="C171" s="14" t="n">
        <v>0</v>
      </c>
    </row>
    <row r="172" customFormat="false" ht="15" hidden="false" customHeight="false" outlineLevel="0" collapsed="false">
      <c r="A172" s="30" t="n">
        <v>45767</v>
      </c>
      <c r="B172" s="12" t="n">
        <v>6977424.63</v>
      </c>
      <c r="C172" s="14" t="n">
        <v>0</v>
      </c>
    </row>
    <row r="173" customFormat="false" ht="15" hidden="false" customHeight="false" outlineLevel="0" collapsed="false">
      <c r="A173" s="30" t="n">
        <v>45768</v>
      </c>
      <c r="B173" s="12" t="n">
        <v>6755776.63</v>
      </c>
      <c r="C173" s="14" t="n">
        <v>0</v>
      </c>
    </row>
    <row r="174" customFormat="false" ht="15" hidden="false" customHeight="false" outlineLevel="0" collapsed="false">
      <c r="A174" s="30" t="n">
        <v>45769</v>
      </c>
      <c r="B174" s="12" t="n">
        <v>6755776.63</v>
      </c>
      <c r="C174" s="14" t="n">
        <v>0</v>
      </c>
    </row>
    <row r="175" customFormat="false" ht="15" hidden="false" customHeight="false" outlineLevel="0" collapsed="false">
      <c r="A175" s="30" t="n">
        <v>45770</v>
      </c>
      <c r="B175" s="12" t="n">
        <v>6755776.63</v>
      </c>
      <c r="C175" s="14" t="n">
        <v>0</v>
      </c>
    </row>
    <row r="176" customFormat="false" ht="15" hidden="false" customHeight="false" outlineLevel="0" collapsed="false">
      <c r="A176" s="30" t="n">
        <v>45771</v>
      </c>
      <c r="B176" s="12" t="n">
        <v>6755776.63</v>
      </c>
      <c r="C176" s="14" t="n">
        <v>0</v>
      </c>
    </row>
    <row r="177" customFormat="false" ht="15" hidden="false" customHeight="false" outlineLevel="0" collapsed="false">
      <c r="A177" s="30" t="n">
        <v>45772</v>
      </c>
      <c r="B177" s="12" t="n">
        <v>6755776.63</v>
      </c>
      <c r="C177" s="14" t="n">
        <v>0</v>
      </c>
    </row>
    <row r="178" customFormat="false" ht="15" hidden="false" customHeight="false" outlineLevel="0" collapsed="false">
      <c r="A178" s="30" t="n">
        <v>45773</v>
      </c>
      <c r="B178" s="12" t="n">
        <v>6755776.63</v>
      </c>
      <c r="C178" s="14" t="n">
        <v>0</v>
      </c>
    </row>
    <row r="179" customFormat="false" ht="15" hidden="false" customHeight="false" outlineLevel="0" collapsed="false">
      <c r="A179" s="30" t="n">
        <v>45774</v>
      </c>
      <c r="B179" s="12" t="n">
        <v>6755776.63</v>
      </c>
      <c r="C179" s="14" t="n">
        <v>0</v>
      </c>
    </row>
    <row r="180" customFormat="false" ht="15" hidden="false" customHeight="false" outlineLevel="0" collapsed="false">
      <c r="A180" s="30" t="n">
        <v>45775</v>
      </c>
      <c r="B180" s="12" t="n">
        <v>6755776.63</v>
      </c>
      <c r="C180" s="14" t="n">
        <v>0</v>
      </c>
    </row>
    <row r="181" customFormat="false" ht="15" hidden="false" customHeight="false" outlineLevel="0" collapsed="false">
      <c r="A181" s="30" t="n">
        <v>45776</v>
      </c>
      <c r="B181" s="12" t="n">
        <v>6755776.63</v>
      </c>
      <c r="C181" s="14" t="n">
        <v>0</v>
      </c>
    </row>
    <row r="182" customFormat="false" ht="15" hidden="false" customHeight="false" outlineLevel="0" collapsed="false">
      <c r="A182" s="30" t="n">
        <v>45777</v>
      </c>
      <c r="B182" s="12" t="n">
        <v>6755776.63</v>
      </c>
      <c r="C182" s="14" t="n">
        <v>0</v>
      </c>
    </row>
    <row r="183" customFormat="false" ht="15" hidden="false" customHeight="false" outlineLevel="0" collapsed="false">
      <c r="A183" s="30" t="n">
        <v>45778</v>
      </c>
      <c r="B183" s="12" t="n">
        <v>3595233.63</v>
      </c>
      <c r="C183" s="14" t="n">
        <v>0</v>
      </c>
    </row>
    <row r="184" customFormat="false" ht="15" hidden="false" customHeight="false" outlineLevel="0" collapsed="false">
      <c r="A184" s="30" t="n">
        <v>45779</v>
      </c>
      <c r="B184" s="12" t="n">
        <v>3595233.63</v>
      </c>
      <c r="C184" s="14" t="n">
        <v>0</v>
      </c>
    </row>
    <row r="185" customFormat="false" ht="15" hidden="false" customHeight="false" outlineLevel="0" collapsed="false">
      <c r="A185" s="30" t="n">
        <v>45780</v>
      </c>
      <c r="B185" s="12" t="n">
        <v>3595233.63</v>
      </c>
      <c r="C185" s="14" t="n">
        <v>0</v>
      </c>
    </row>
    <row r="186" customFormat="false" ht="15" hidden="false" customHeight="false" outlineLevel="0" collapsed="false">
      <c r="A186" s="30" t="n">
        <v>45781</v>
      </c>
      <c r="B186" s="12" t="n">
        <v>3595233.63</v>
      </c>
      <c r="C186" s="14" t="n">
        <v>0</v>
      </c>
    </row>
    <row r="187" customFormat="false" ht="15" hidden="false" customHeight="false" outlineLevel="0" collapsed="false">
      <c r="A187" s="30" t="n">
        <v>45782</v>
      </c>
      <c r="B187" s="12" t="n">
        <v>2886196.64</v>
      </c>
      <c r="C187" s="14" t="n">
        <v>0</v>
      </c>
    </row>
    <row r="188" customFormat="false" ht="15" hidden="false" customHeight="false" outlineLevel="0" collapsed="false">
      <c r="A188" s="30" t="n">
        <v>45783</v>
      </c>
      <c r="B188" s="12" t="n">
        <v>2886196.64</v>
      </c>
      <c r="C188" s="14" t="n">
        <v>0</v>
      </c>
    </row>
    <row r="189" customFormat="false" ht="15" hidden="false" customHeight="false" outlineLevel="0" collapsed="false">
      <c r="A189" s="30" t="n">
        <v>45784</v>
      </c>
      <c r="B189" s="12" t="n">
        <v>2785194.44</v>
      </c>
      <c r="C189" s="14" t="n">
        <v>0</v>
      </c>
    </row>
    <row r="190" customFormat="false" ht="15" hidden="false" customHeight="false" outlineLevel="0" collapsed="false">
      <c r="A190" s="30" t="n">
        <v>45785</v>
      </c>
      <c r="B190" s="12" t="n">
        <v>2785194.44</v>
      </c>
      <c r="C190" s="14" t="n">
        <v>0</v>
      </c>
    </row>
    <row r="191" customFormat="false" ht="15" hidden="false" customHeight="false" outlineLevel="0" collapsed="false">
      <c r="A191" s="30" t="n">
        <v>45786</v>
      </c>
      <c r="B191" s="12" t="n">
        <v>2785194.44</v>
      </c>
      <c r="C191" s="14" t="n">
        <v>0</v>
      </c>
    </row>
    <row r="192" customFormat="false" ht="15" hidden="false" customHeight="false" outlineLevel="0" collapsed="false">
      <c r="A192" s="30" t="n">
        <v>45787</v>
      </c>
      <c r="B192" s="12" t="n">
        <v>2785194.44</v>
      </c>
      <c r="C192" s="14" t="n">
        <v>0</v>
      </c>
    </row>
    <row r="193" customFormat="false" ht="15" hidden="false" customHeight="false" outlineLevel="0" collapsed="false">
      <c r="A193" s="30" t="n">
        <v>45788</v>
      </c>
      <c r="B193" s="12" t="n">
        <v>2785194.44</v>
      </c>
      <c r="C193" s="14" t="n">
        <v>0</v>
      </c>
    </row>
    <row r="194" customFormat="false" ht="15" hidden="false" customHeight="false" outlineLevel="0" collapsed="false">
      <c r="A194" s="30" t="n">
        <v>45789</v>
      </c>
      <c r="B194" s="12" t="n">
        <v>2785194.44</v>
      </c>
      <c r="C194" s="14" t="n">
        <v>0</v>
      </c>
    </row>
    <row r="195" customFormat="false" ht="15" hidden="false" customHeight="false" outlineLevel="0" collapsed="false">
      <c r="A195" s="30" t="n">
        <v>45790</v>
      </c>
      <c r="B195" s="12" t="n">
        <v>4688082.97</v>
      </c>
      <c r="C195" s="14" t="n">
        <v>0</v>
      </c>
    </row>
    <row r="196" customFormat="false" ht="15" hidden="false" customHeight="false" outlineLevel="0" collapsed="false">
      <c r="A196" s="30" t="n">
        <v>45791</v>
      </c>
      <c r="B196" s="12" t="n">
        <v>5059189.49</v>
      </c>
      <c r="C196" s="14" t="n">
        <v>0</v>
      </c>
    </row>
    <row r="197" customFormat="false" ht="15" hidden="false" customHeight="false" outlineLevel="0" collapsed="false">
      <c r="A197" s="30" t="n">
        <v>45792</v>
      </c>
      <c r="B197" s="12" t="n">
        <v>5780524.99</v>
      </c>
      <c r="C197" s="14" t="n">
        <v>0</v>
      </c>
    </row>
    <row r="198" customFormat="false" ht="15" hidden="false" customHeight="false" outlineLevel="0" collapsed="false">
      <c r="A198" s="30" t="n">
        <v>45793</v>
      </c>
      <c r="B198" s="12" t="n">
        <v>5780524.99</v>
      </c>
      <c r="C198" s="14" t="n">
        <v>0</v>
      </c>
    </row>
    <row r="199" customFormat="false" ht="15" hidden="false" customHeight="false" outlineLevel="0" collapsed="false">
      <c r="A199" s="30" t="n">
        <v>45794</v>
      </c>
      <c r="B199" s="12" t="n">
        <v>5780524.99</v>
      </c>
      <c r="C199" s="14" t="n">
        <v>0</v>
      </c>
    </row>
    <row r="200" customFormat="false" ht="15" hidden="false" customHeight="false" outlineLevel="0" collapsed="false">
      <c r="A200" s="30" t="n">
        <v>45795</v>
      </c>
      <c r="B200" s="12" t="n">
        <v>5780524.99</v>
      </c>
      <c r="C200" s="14" t="n">
        <v>0</v>
      </c>
    </row>
    <row r="201" customFormat="false" ht="15" hidden="false" customHeight="false" outlineLevel="0" collapsed="false">
      <c r="A201" s="30" t="n">
        <v>45796</v>
      </c>
      <c r="B201" s="12" t="n">
        <v>5780524.99</v>
      </c>
      <c r="C201" s="14" t="n">
        <v>0</v>
      </c>
    </row>
    <row r="202" customFormat="false" ht="15" hidden="false" customHeight="false" outlineLevel="0" collapsed="false">
      <c r="A202" s="30" t="n">
        <v>45797</v>
      </c>
      <c r="B202" s="12" t="n">
        <v>5555680.99</v>
      </c>
      <c r="C202" s="14" t="n">
        <v>0</v>
      </c>
    </row>
    <row r="203" customFormat="false" ht="15" hidden="false" customHeight="false" outlineLevel="0" collapsed="false">
      <c r="A203" s="30" t="n">
        <v>45798</v>
      </c>
      <c r="B203" s="12" t="n">
        <v>5555680.99</v>
      </c>
      <c r="C203" s="14" t="n">
        <v>0</v>
      </c>
    </row>
    <row r="204" customFormat="false" ht="15" hidden="false" customHeight="false" outlineLevel="0" collapsed="false">
      <c r="A204" s="30" t="n">
        <v>45799</v>
      </c>
      <c r="B204" s="12" t="n">
        <v>5555680.99</v>
      </c>
      <c r="C204" s="14" t="n">
        <v>0</v>
      </c>
    </row>
    <row r="205" customFormat="false" ht="15" hidden="false" customHeight="false" outlineLevel="0" collapsed="false">
      <c r="A205" s="30" t="n">
        <v>45800</v>
      </c>
      <c r="B205" s="12" t="n">
        <v>5555680.99</v>
      </c>
      <c r="C205" s="14" t="n">
        <v>0</v>
      </c>
    </row>
    <row r="206" customFormat="false" ht="15" hidden="false" customHeight="false" outlineLevel="0" collapsed="false">
      <c r="A206" s="30" t="n">
        <v>45801</v>
      </c>
      <c r="B206" s="12" t="n">
        <v>5555680.99</v>
      </c>
      <c r="C206" s="14" t="n">
        <v>0</v>
      </c>
    </row>
    <row r="207" customFormat="false" ht="15" hidden="false" customHeight="false" outlineLevel="0" collapsed="false">
      <c r="A207" s="30" t="n">
        <v>45802</v>
      </c>
      <c r="B207" s="12" t="n">
        <v>5555680.99</v>
      </c>
      <c r="C207" s="14" t="n">
        <v>0</v>
      </c>
    </row>
    <row r="208" customFormat="false" ht="15" hidden="false" customHeight="false" outlineLevel="0" collapsed="false">
      <c r="A208" s="30" t="n">
        <v>45803</v>
      </c>
      <c r="B208" s="12" t="n">
        <v>5555680.99</v>
      </c>
      <c r="C208" s="14" t="n">
        <v>0</v>
      </c>
    </row>
    <row r="209" customFormat="false" ht="15" hidden="false" customHeight="false" outlineLevel="0" collapsed="false">
      <c r="A209" s="30" t="n">
        <v>45804</v>
      </c>
      <c r="B209" s="12" t="n">
        <v>6247372.6</v>
      </c>
      <c r="C209" s="14" t="n">
        <v>0</v>
      </c>
    </row>
    <row r="210" customFormat="false" ht="15" hidden="false" customHeight="false" outlineLevel="0" collapsed="false">
      <c r="A210" s="30" t="n">
        <v>45805</v>
      </c>
      <c r="B210" s="12" t="n">
        <v>6247372.6</v>
      </c>
      <c r="C210" s="14" t="n">
        <v>0</v>
      </c>
    </row>
    <row r="211" customFormat="false" ht="15" hidden="false" customHeight="false" outlineLevel="0" collapsed="false">
      <c r="A211" s="30" t="n">
        <v>45806</v>
      </c>
      <c r="B211" s="12" t="n">
        <v>6247372.6</v>
      </c>
      <c r="C211" s="14" t="n">
        <v>0</v>
      </c>
    </row>
    <row r="212" customFormat="false" ht="15" hidden="false" customHeight="false" outlineLevel="0" collapsed="false">
      <c r="A212" s="30" t="n">
        <v>45807</v>
      </c>
      <c r="B212" s="12" t="n">
        <v>6247372.6</v>
      </c>
      <c r="C212" s="14" t="n">
        <v>0</v>
      </c>
    </row>
    <row r="213" customFormat="false" ht="15" hidden="false" customHeight="false" outlineLevel="0" collapsed="false">
      <c r="A213" s="30" t="n">
        <v>45808</v>
      </c>
      <c r="B213" s="12" t="n">
        <v>6247372.6</v>
      </c>
      <c r="C213" s="14" t="n">
        <v>0</v>
      </c>
    </row>
    <row r="214" customFormat="false" ht="15" hidden="false" customHeight="false" outlineLevel="0" collapsed="false">
      <c r="A214" s="30" t="n">
        <v>45809</v>
      </c>
      <c r="B214" s="12" t="n">
        <v>6247372.6</v>
      </c>
      <c r="C214" s="14" t="n">
        <v>0</v>
      </c>
    </row>
    <row r="215" customFormat="false" ht="15" hidden="false" customHeight="false" outlineLevel="0" collapsed="false">
      <c r="A215" s="30" t="n">
        <v>45810</v>
      </c>
      <c r="B215" s="12" t="n">
        <v>3053012.6</v>
      </c>
      <c r="C215" s="14" t="n">
        <v>0</v>
      </c>
    </row>
    <row r="216" customFormat="false" ht="15" hidden="false" customHeight="false" outlineLevel="0" collapsed="false">
      <c r="A216" s="30" t="n">
        <v>45811</v>
      </c>
      <c r="B216" s="12" t="n">
        <v>2655755.98</v>
      </c>
      <c r="C216" s="14" t="n">
        <v>0</v>
      </c>
    </row>
    <row r="217" customFormat="false" ht="15" hidden="false" customHeight="false" outlineLevel="0" collapsed="false">
      <c r="A217" s="30" t="n">
        <v>45812</v>
      </c>
      <c r="B217" s="12" t="n">
        <v>2655755.98</v>
      </c>
      <c r="C217" s="14" t="n">
        <v>0</v>
      </c>
    </row>
    <row r="218" customFormat="false" ht="15" hidden="false" customHeight="false" outlineLevel="0" collapsed="false">
      <c r="A218" s="30" t="n">
        <v>45813</v>
      </c>
      <c r="B218" s="12" t="n">
        <v>2335755.98</v>
      </c>
      <c r="C218" s="14" t="n">
        <v>0</v>
      </c>
    </row>
    <row r="219" customFormat="false" ht="15" hidden="false" customHeight="false" outlineLevel="0" collapsed="false">
      <c r="A219" s="30" t="n">
        <v>45814</v>
      </c>
      <c r="B219" s="12" t="n">
        <v>2335755.98</v>
      </c>
      <c r="C219" s="14" t="n">
        <v>0</v>
      </c>
    </row>
    <row r="220" customFormat="false" ht="15" hidden="false" customHeight="false" outlineLevel="0" collapsed="false">
      <c r="A220" s="30" t="n">
        <v>45815</v>
      </c>
      <c r="B220" s="12" t="n">
        <v>2335755.98</v>
      </c>
      <c r="C220" s="14" t="n">
        <v>0</v>
      </c>
    </row>
    <row r="221" customFormat="false" ht="15" hidden="false" customHeight="false" outlineLevel="0" collapsed="false">
      <c r="A221" s="30" t="n">
        <v>45816</v>
      </c>
      <c r="B221" s="12" t="n">
        <v>2335755.98</v>
      </c>
      <c r="C221" s="14" t="n">
        <v>0</v>
      </c>
    </row>
    <row r="222" customFormat="false" ht="15" hidden="false" customHeight="false" outlineLevel="0" collapsed="false">
      <c r="A222" s="30" t="n">
        <v>45817</v>
      </c>
      <c r="B222" s="12" t="n">
        <v>4377150.65</v>
      </c>
      <c r="C222" s="14" t="n">
        <v>0</v>
      </c>
    </row>
    <row r="223" customFormat="false" ht="15" hidden="false" customHeight="false" outlineLevel="0" collapsed="false">
      <c r="A223" s="30" t="n">
        <v>45818</v>
      </c>
      <c r="B223" s="12" t="n">
        <v>4377150.65</v>
      </c>
      <c r="C223" s="14" t="n">
        <v>0</v>
      </c>
    </row>
    <row r="224" customFormat="false" ht="15" hidden="false" customHeight="false" outlineLevel="0" collapsed="false">
      <c r="A224" s="30" t="n">
        <v>45819</v>
      </c>
      <c r="B224" s="12" t="n">
        <v>4377150.65</v>
      </c>
      <c r="C224" s="14" t="n">
        <v>0</v>
      </c>
    </row>
    <row r="225" customFormat="false" ht="15" hidden="false" customHeight="false" outlineLevel="0" collapsed="false">
      <c r="A225" s="30" t="n">
        <v>45820</v>
      </c>
      <c r="B225" s="12" t="n">
        <v>5126315.6</v>
      </c>
      <c r="C225" s="14" t="n">
        <v>0</v>
      </c>
    </row>
    <row r="226" customFormat="false" ht="15" hidden="false" customHeight="false" outlineLevel="0" collapsed="false">
      <c r="A226" s="30" t="n">
        <v>45821</v>
      </c>
      <c r="B226" s="12" t="n">
        <v>5439913.19</v>
      </c>
      <c r="C226" s="14" t="n">
        <v>0</v>
      </c>
    </row>
    <row r="227" customFormat="false" ht="15" hidden="false" customHeight="false" outlineLevel="0" collapsed="false">
      <c r="A227" s="30" t="n">
        <v>45822</v>
      </c>
      <c r="B227" s="12" t="n">
        <v>5439913.19</v>
      </c>
      <c r="C227" s="14" t="n">
        <v>0</v>
      </c>
    </row>
    <row r="228" customFormat="false" ht="15" hidden="false" customHeight="false" outlineLevel="0" collapsed="false">
      <c r="A228" s="30" t="n">
        <v>45823</v>
      </c>
      <c r="B228" s="12" t="n">
        <v>5439913.19</v>
      </c>
      <c r="C228" s="14" t="n">
        <v>0</v>
      </c>
    </row>
    <row r="229" customFormat="false" ht="15" hidden="false" customHeight="false" outlineLevel="0" collapsed="false">
      <c r="A229" s="30" t="n">
        <v>45824</v>
      </c>
      <c r="B229" s="12" t="n">
        <v>5989275.58</v>
      </c>
      <c r="C229" s="14" t="n">
        <v>0</v>
      </c>
    </row>
    <row r="230" customFormat="false" ht="15" hidden="false" customHeight="false" outlineLevel="0" collapsed="false">
      <c r="A230" s="30" t="n">
        <v>45825</v>
      </c>
      <c r="B230" s="12" t="n">
        <v>5989275.58</v>
      </c>
      <c r="C230" s="14" t="n">
        <v>0</v>
      </c>
    </row>
    <row r="231" customFormat="false" ht="15" hidden="false" customHeight="false" outlineLevel="0" collapsed="false">
      <c r="A231" s="30" t="n">
        <v>45826</v>
      </c>
      <c r="B231" s="12" t="n">
        <v>5989275.58</v>
      </c>
      <c r="C231" s="14" t="n">
        <v>0</v>
      </c>
    </row>
    <row r="232" customFormat="false" ht="15" hidden="false" customHeight="false" outlineLevel="0" collapsed="false">
      <c r="A232" s="30" t="n">
        <v>45827</v>
      </c>
      <c r="B232" s="12" t="n">
        <v>5989275.58</v>
      </c>
      <c r="C232" s="14" t="n">
        <v>0</v>
      </c>
    </row>
    <row r="233" customFormat="false" ht="15" hidden="false" customHeight="false" outlineLevel="0" collapsed="false">
      <c r="A233" s="30" t="n">
        <v>45828</v>
      </c>
      <c r="B233" s="12" t="n">
        <v>5785750.58</v>
      </c>
      <c r="C233" s="14" t="n">
        <v>0</v>
      </c>
    </row>
    <row r="234" customFormat="false" ht="15" hidden="false" customHeight="false" outlineLevel="0" collapsed="false">
      <c r="A234" s="30" t="n">
        <v>45829</v>
      </c>
      <c r="B234" s="12" t="n">
        <v>5785750.58</v>
      </c>
      <c r="C234" s="14" t="n">
        <v>0</v>
      </c>
    </row>
    <row r="235" customFormat="false" ht="15" hidden="false" customHeight="false" outlineLevel="0" collapsed="false">
      <c r="A235" s="30" t="n">
        <v>45830</v>
      </c>
      <c r="B235" s="12" t="n">
        <v>5785750.58</v>
      </c>
      <c r="C235" s="14" t="n">
        <v>0</v>
      </c>
    </row>
    <row r="236" customFormat="false" ht="15" hidden="false" customHeight="false" outlineLevel="0" collapsed="false">
      <c r="A236" s="30" t="n">
        <v>45831</v>
      </c>
      <c r="B236" s="12" t="n">
        <v>5785750.58</v>
      </c>
      <c r="C236" s="14" t="n">
        <v>0</v>
      </c>
    </row>
    <row r="237" customFormat="false" ht="15" hidden="false" customHeight="false" outlineLevel="0" collapsed="false">
      <c r="A237" s="30" t="n">
        <v>45832</v>
      </c>
      <c r="B237" s="12" t="n">
        <v>5785750.58</v>
      </c>
      <c r="C237" s="14" t="n">
        <v>0</v>
      </c>
    </row>
    <row r="238" customFormat="false" ht="15" hidden="false" customHeight="false" outlineLevel="0" collapsed="false">
      <c r="A238" s="30" t="n">
        <v>45833</v>
      </c>
      <c r="B238" s="12" t="n">
        <v>5785750.58</v>
      </c>
      <c r="C238" s="14" t="n">
        <v>0</v>
      </c>
    </row>
    <row r="239" customFormat="false" ht="15" hidden="false" customHeight="false" outlineLevel="0" collapsed="false">
      <c r="A239" s="30" t="n">
        <v>45834</v>
      </c>
      <c r="B239" s="12" t="n">
        <v>5785750.58</v>
      </c>
      <c r="C239" s="14" t="n">
        <v>0</v>
      </c>
    </row>
    <row r="240" customFormat="false" ht="15" hidden="false" customHeight="false" outlineLevel="0" collapsed="false">
      <c r="A240" s="30" t="n">
        <v>45835</v>
      </c>
      <c r="B240" s="12" t="n">
        <v>5785750.58</v>
      </c>
      <c r="C240" s="14" t="n">
        <v>0</v>
      </c>
    </row>
    <row r="241" customFormat="false" ht="15" hidden="false" customHeight="false" outlineLevel="0" collapsed="false">
      <c r="A241" s="30" t="n">
        <v>45836</v>
      </c>
      <c r="B241" s="12" t="n">
        <v>5785750.58</v>
      </c>
      <c r="C241" s="14" t="n">
        <v>0</v>
      </c>
    </row>
    <row r="242" customFormat="false" ht="15" hidden="false" customHeight="false" outlineLevel="0" collapsed="false">
      <c r="A242" s="30" t="n">
        <v>45837</v>
      </c>
      <c r="B242" s="12" t="n">
        <v>5785750.58</v>
      </c>
      <c r="C242" s="14" t="n">
        <v>0</v>
      </c>
    </row>
    <row r="243" customFormat="false" ht="15" hidden="false" customHeight="false" outlineLevel="0" collapsed="false">
      <c r="A243" s="30" t="n">
        <v>45838</v>
      </c>
      <c r="B243" s="12" t="n">
        <v>5785750.58</v>
      </c>
      <c r="C243" s="14" t="n">
        <v>0</v>
      </c>
    </row>
    <row r="244" customFormat="false" ht="15" hidden="false" customHeight="false" outlineLevel="0" collapsed="false">
      <c r="A244" s="30" t="n">
        <v>45839</v>
      </c>
      <c r="B244" s="12" t="n">
        <v>2613399.58</v>
      </c>
      <c r="C244" s="14" t="n">
        <v>0</v>
      </c>
    </row>
    <row r="245" customFormat="false" ht="15" hidden="false" customHeight="false" outlineLevel="0" collapsed="false">
      <c r="A245" s="30" t="n">
        <v>45840</v>
      </c>
      <c r="B245" s="12" t="n">
        <v>2613399.58</v>
      </c>
      <c r="C245" s="14" t="n">
        <v>0</v>
      </c>
    </row>
    <row r="246" customFormat="false" ht="15" hidden="false" customHeight="false" outlineLevel="0" collapsed="false">
      <c r="A246" s="30" t="n">
        <v>45841</v>
      </c>
      <c r="B246" s="12" t="n">
        <v>2205537.91</v>
      </c>
      <c r="C246" s="14" t="n">
        <v>0</v>
      </c>
    </row>
    <row r="247" customFormat="false" ht="15" hidden="false" customHeight="false" outlineLevel="0" collapsed="false">
      <c r="A247" s="30" t="n">
        <v>45842</v>
      </c>
      <c r="B247" s="12" t="n">
        <v>2205537.91</v>
      </c>
      <c r="C247" s="14" t="n">
        <v>0</v>
      </c>
    </row>
    <row r="248" customFormat="false" ht="15" hidden="false" customHeight="false" outlineLevel="0" collapsed="false">
      <c r="A248" s="30" t="n">
        <v>45843</v>
      </c>
      <c r="B248" s="12" t="n">
        <v>2205537.91</v>
      </c>
      <c r="C248" s="14" t="n">
        <v>0</v>
      </c>
    </row>
    <row r="249" customFormat="false" ht="15" hidden="false" customHeight="false" outlineLevel="0" collapsed="false">
      <c r="A249" s="30" t="n">
        <v>45844</v>
      </c>
      <c r="B249" s="12" t="n">
        <v>2205537.91</v>
      </c>
      <c r="C249" s="14" t="n">
        <v>0</v>
      </c>
    </row>
    <row r="250" customFormat="false" ht="15" hidden="false" customHeight="false" outlineLevel="0" collapsed="false">
      <c r="A250" s="30" t="n">
        <v>45845</v>
      </c>
      <c r="B250" s="12" t="n">
        <v>2644500.39</v>
      </c>
      <c r="C250" s="14" t="n">
        <v>0</v>
      </c>
    </row>
    <row r="251" customFormat="false" ht="15" hidden="false" customHeight="false" outlineLevel="0" collapsed="false">
      <c r="A251" s="30" t="n">
        <v>45846</v>
      </c>
      <c r="B251" s="12" t="n">
        <v>2644500.39</v>
      </c>
      <c r="C251" s="14" t="n">
        <v>0</v>
      </c>
    </row>
    <row r="252" customFormat="false" ht="15" hidden="false" customHeight="false" outlineLevel="0" collapsed="false">
      <c r="A252" s="30" t="n">
        <v>45847</v>
      </c>
      <c r="B252" s="12" t="n">
        <v>3018740.63</v>
      </c>
      <c r="C252" s="14" t="n">
        <v>0</v>
      </c>
    </row>
    <row r="253" customFormat="false" ht="15" hidden="false" customHeight="false" outlineLevel="0" collapsed="false">
      <c r="A253" s="30" t="n">
        <v>45848</v>
      </c>
      <c r="B253" s="12" t="n">
        <v>2240759.16</v>
      </c>
      <c r="C253" s="14" t="n">
        <v>0</v>
      </c>
    </row>
    <row r="254" customFormat="false" ht="15" hidden="false" customHeight="false" outlineLevel="0" collapsed="false">
      <c r="A254" s="30" t="n">
        <v>45849</v>
      </c>
      <c r="B254" s="12" t="n">
        <v>2987990.41</v>
      </c>
      <c r="C254" s="14" t="n">
        <v>0</v>
      </c>
    </row>
    <row r="255" customFormat="false" ht="15" hidden="false" customHeight="false" outlineLevel="0" collapsed="false">
      <c r="A255" s="30" t="n">
        <v>45850</v>
      </c>
      <c r="B255" s="12" t="n">
        <v>2987990.41</v>
      </c>
      <c r="C255" s="14" t="n">
        <v>0</v>
      </c>
    </row>
    <row r="256" customFormat="false" ht="15" hidden="false" customHeight="false" outlineLevel="0" collapsed="false">
      <c r="A256" s="30" t="n">
        <v>45851</v>
      </c>
      <c r="B256" s="12" t="n">
        <v>2987990.41</v>
      </c>
      <c r="C256" s="14" t="n">
        <v>0</v>
      </c>
    </row>
    <row r="257" customFormat="false" ht="15" hidden="false" customHeight="false" outlineLevel="0" collapsed="false">
      <c r="A257" s="30" t="n">
        <v>45852</v>
      </c>
      <c r="B257" s="12" t="n">
        <v>4027578</v>
      </c>
      <c r="C257" s="14" t="n">
        <v>0</v>
      </c>
    </row>
    <row r="258" customFormat="false" ht="15" hidden="false" customHeight="false" outlineLevel="0" collapsed="false">
      <c r="A258" s="30" t="n">
        <v>45853</v>
      </c>
      <c r="B258" s="12" t="n">
        <v>4289456.98</v>
      </c>
      <c r="C258" s="14" t="n">
        <v>0</v>
      </c>
    </row>
    <row r="259" customFormat="false" ht="15" hidden="false" customHeight="false" outlineLevel="0" collapsed="false">
      <c r="A259" s="30" t="n">
        <v>45854</v>
      </c>
      <c r="B259" s="12" t="n">
        <v>4289456.98</v>
      </c>
      <c r="C259" s="14" t="n">
        <v>0</v>
      </c>
    </row>
    <row r="260" customFormat="false" ht="15" hidden="false" customHeight="false" outlineLevel="0" collapsed="false">
      <c r="A260" s="30" t="n">
        <v>45855</v>
      </c>
      <c r="B260" s="12" t="n">
        <v>4289456.98</v>
      </c>
      <c r="C260" s="14" t="n">
        <v>0</v>
      </c>
    </row>
    <row r="261" customFormat="false" ht="15" hidden="false" customHeight="false" outlineLevel="0" collapsed="false">
      <c r="A261" s="30" t="n">
        <v>45856</v>
      </c>
      <c r="B261" s="12" t="n">
        <v>4289456.98</v>
      </c>
      <c r="C261" s="14" t="n">
        <v>0</v>
      </c>
    </row>
    <row r="262" customFormat="false" ht="15" hidden="false" customHeight="false" outlineLevel="0" collapsed="false">
      <c r="A262" s="30" t="n">
        <v>45857</v>
      </c>
      <c r="B262" s="12" t="n">
        <v>4289456.98</v>
      </c>
      <c r="C262" s="14" t="n">
        <v>0</v>
      </c>
    </row>
    <row r="263" customFormat="false" ht="15" hidden="false" customHeight="false" outlineLevel="0" collapsed="false">
      <c r="A263" s="30" t="n">
        <v>45858</v>
      </c>
      <c r="B263" s="12" t="n">
        <v>4289456.98</v>
      </c>
      <c r="C263" s="14" t="n">
        <v>0</v>
      </c>
    </row>
    <row r="264" customFormat="false" ht="15" hidden="false" customHeight="false" outlineLevel="0" collapsed="false">
      <c r="A264" s="30" t="n">
        <v>45859</v>
      </c>
      <c r="B264" s="12" t="n">
        <v>7593854.01</v>
      </c>
      <c r="C264" s="14" t="n">
        <v>0</v>
      </c>
    </row>
    <row r="265" customFormat="false" ht="15" hidden="false" customHeight="false" outlineLevel="0" collapsed="false">
      <c r="A265" s="30" t="n">
        <v>45860</v>
      </c>
      <c r="B265" s="12" t="n">
        <v>7593854.01</v>
      </c>
      <c r="C265" s="14" t="n">
        <v>0</v>
      </c>
    </row>
    <row r="266" customFormat="false" ht="15" hidden="false" customHeight="false" outlineLevel="0" collapsed="false">
      <c r="A266" s="30" t="n">
        <v>45861</v>
      </c>
      <c r="B266" s="12" t="n">
        <v>7593854.01</v>
      </c>
      <c r="C266" s="14" t="n">
        <v>0</v>
      </c>
    </row>
    <row r="267" customFormat="false" ht="15" hidden="false" customHeight="false" outlineLevel="0" collapsed="false">
      <c r="A267" s="30" t="n">
        <v>45862</v>
      </c>
      <c r="B267" s="12" t="n">
        <v>7593854.01</v>
      </c>
      <c r="C267" s="14" t="n">
        <v>0</v>
      </c>
    </row>
    <row r="268" customFormat="false" ht="15" hidden="false" customHeight="false" outlineLevel="0" collapsed="false">
      <c r="A268" s="30" t="n">
        <v>45863</v>
      </c>
      <c r="B268" s="12" t="n">
        <v>7593854.01</v>
      </c>
      <c r="C268" s="14" t="n">
        <v>0</v>
      </c>
    </row>
    <row r="269" customFormat="false" ht="15" hidden="false" customHeight="false" outlineLevel="0" collapsed="false">
      <c r="A269" s="30" t="n">
        <v>45864</v>
      </c>
      <c r="B269" s="12" t="n">
        <v>7593854.01</v>
      </c>
      <c r="C269" s="14" t="n">
        <v>0</v>
      </c>
    </row>
    <row r="270" customFormat="false" ht="15" hidden="false" customHeight="false" outlineLevel="0" collapsed="false">
      <c r="A270" s="30" t="n">
        <v>45865</v>
      </c>
      <c r="B270" s="12" t="n">
        <v>7593854.01</v>
      </c>
      <c r="C270" s="14" t="n">
        <v>0</v>
      </c>
    </row>
    <row r="271" customFormat="false" ht="15" hidden="false" customHeight="false" outlineLevel="0" collapsed="false">
      <c r="A271" s="30" t="n">
        <v>45866</v>
      </c>
      <c r="B271" s="12" t="n">
        <v>7593854.01</v>
      </c>
      <c r="C271" s="14" t="n">
        <v>0</v>
      </c>
    </row>
    <row r="272" customFormat="false" ht="15" hidden="false" customHeight="false" outlineLevel="0" collapsed="false">
      <c r="A272" s="30" t="n">
        <v>45867</v>
      </c>
      <c r="B272" s="12" t="n">
        <v>8287044.2</v>
      </c>
      <c r="C272" s="14" t="n">
        <v>0</v>
      </c>
    </row>
    <row r="273" customFormat="false" ht="15" hidden="false" customHeight="false" outlineLevel="0" collapsed="false">
      <c r="A273" s="30" t="n">
        <v>45868</v>
      </c>
      <c r="B273" s="12" t="n">
        <v>8287044.2</v>
      </c>
      <c r="C273" s="14" t="n">
        <v>0</v>
      </c>
    </row>
    <row r="274" customFormat="false" ht="15" hidden="false" customHeight="false" outlineLevel="0" collapsed="false">
      <c r="A274" s="30" t="n">
        <v>45869</v>
      </c>
      <c r="B274" s="12" t="n">
        <v>8287044.2</v>
      </c>
      <c r="C274" s="14" t="n">
        <v>0</v>
      </c>
    </row>
    <row r="275" customFormat="false" ht="15" hidden="false" customHeight="false" outlineLevel="0" collapsed="false">
      <c r="A275" s="30" t="n">
        <v>45870</v>
      </c>
      <c r="B275" s="12" t="n">
        <v>5104809.2</v>
      </c>
      <c r="C275" s="14" t="n">
        <v>0</v>
      </c>
    </row>
    <row r="276" customFormat="false" ht="15" hidden="false" customHeight="false" outlineLevel="0" collapsed="false">
      <c r="A276" s="30" t="n">
        <v>45871</v>
      </c>
      <c r="B276" s="12" t="n">
        <v>5104809.2</v>
      </c>
      <c r="C276" s="14" t="n">
        <v>0</v>
      </c>
    </row>
    <row r="277" customFormat="false" ht="15" hidden="false" customHeight="false" outlineLevel="0" collapsed="false">
      <c r="A277" s="30" t="n">
        <v>45872</v>
      </c>
      <c r="B277" s="12" t="n">
        <v>5104809.2</v>
      </c>
      <c r="C277" s="14" t="n">
        <v>0</v>
      </c>
    </row>
    <row r="278" customFormat="false" ht="15" hidden="false" customHeight="false" outlineLevel="0" collapsed="false">
      <c r="A278" s="30" t="n">
        <v>45873</v>
      </c>
      <c r="B278" s="12" t="n">
        <v>4701813.11</v>
      </c>
      <c r="C278" s="14" t="n">
        <v>0</v>
      </c>
    </row>
    <row r="279" customFormat="false" ht="15" hidden="false" customHeight="false" outlineLevel="0" collapsed="false">
      <c r="A279" s="30" t="n">
        <v>45874</v>
      </c>
      <c r="B279" s="12" t="n">
        <v>4381813.11</v>
      </c>
      <c r="C279" s="14" t="n">
        <v>0</v>
      </c>
    </row>
    <row r="280" customFormat="false" ht="15" hidden="false" customHeight="false" outlineLevel="0" collapsed="false">
      <c r="A280" s="30" t="n">
        <v>45875</v>
      </c>
      <c r="B280" s="12" t="n">
        <v>4381813.11</v>
      </c>
      <c r="C280" s="14" t="n">
        <v>0</v>
      </c>
    </row>
    <row r="281" customFormat="false" ht="15" hidden="false" customHeight="false" outlineLevel="0" collapsed="false">
      <c r="A281" s="30" t="n">
        <v>45876</v>
      </c>
      <c r="B281" s="12" t="n">
        <v>4593405.73</v>
      </c>
      <c r="C281" s="14" t="n">
        <v>0</v>
      </c>
    </row>
    <row r="282" customFormat="false" ht="15" hidden="false" customHeight="false" outlineLevel="0" collapsed="false">
      <c r="A282" s="30" t="n">
        <v>45877</v>
      </c>
      <c r="B282" s="12" t="n">
        <v>5593334.43</v>
      </c>
      <c r="C282" s="14" t="n">
        <v>0</v>
      </c>
    </row>
    <row r="283" customFormat="false" ht="15" hidden="false" customHeight="false" outlineLevel="0" collapsed="false">
      <c r="A283" s="30" t="n">
        <v>45878</v>
      </c>
      <c r="B283" s="12" t="n">
        <v>5593334.43</v>
      </c>
      <c r="C283" s="14" t="n">
        <v>0</v>
      </c>
    </row>
    <row r="284" customFormat="false" ht="15" hidden="false" customHeight="false" outlineLevel="0" collapsed="false">
      <c r="A284" s="30" t="n">
        <v>45879</v>
      </c>
      <c r="B284" s="12" t="n">
        <v>5593334.43</v>
      </c>
      <c r="C284" s="14" t="n">
        <v>0</v>
      </c>
    </row>
    <row r="285" customFormat="false" ht="15" hidden="false" customHeight="false" outlineLevel="0" collapsed="false">
      <c r="A285" s="30" t="n">
        <v>45880</v>
      </c>
      <c r="B285" s="12" t="n">
        <v>6753790.62</v>
      </c>
      <c r="C285" s="14" t="n">
        <v>0</v>
      </c>
    </row>
    <row r="286" customFormat="false" ht="15" hidden="false" customHeight="false" outlineLevel="0" collapsed="false">
      <c r="A286" s="30" t="n">
        <v>45881</v>
      </c>
      <c r="B286" s="12" t="n">
        <v>6611790.62</v>
      </c>
      <c r="C286" s="14" t="n">
        <v>0</v>
      </c>
    </row>
    <row r="287" customFormat="false" ht="15" hidden="false" customHeight="false" outlineLevel="0" collapsed="false">
      <c r="A287" s="30" t="n">
        <v>45882</v>
      </c>
      <c r="B287" s="12" t="n">
        <v>7156201.4</v>
      </c>
      <c r="C287" s="14" t="n">
        <v>0</v>
      </c>
    </row>
    <row r="288" customFormat="false" ht="15" hidden="false" customHeight="false" outlineLevel="0" collapsed="false">
      <c r="A288" s="30" t="n">
        <v>45883</v>
      </c>
      <c r="B288" s="12" t="n">
        <v>7419021.03</v>
      </c>
      <c r="C288" s="14" t="n">
        <v>0</v>
      </c>
    </row>
    <row r="289" customFormat="false" ht="15" hidden="false" customHeight="false" outlineLevel="0" collapsed="false">
      <c r="A289" s="30" t="n">
        <v>45884</v>
      </c>
      <c r="B289" s="12" t="n">
        <v>7419021.03</v>
      </c>
      <c r="C289" s="14" t="n">
        <v>0</v>
      </c>
    </row>
    <row r="290" customFormat="false" ht="15" hidden="false" customHeight="false" outlineLevel="0" collapsed="false">
      <c r="A290" s="30" t="n">
        <v>45885</v>
      </c>
      <c r="B290" s="12" t="n">
        <v>7419021.03</v>
      </c>
      <c r="C290" s="14" t="n">
        <v>0</v>
      </c>
    </row>
    <row r="291" customFormat="false" ht="15" hidden="false" customHeight="false" outlineLevel="0" collapsed="false">
      <c r="A291" s="30" t="n">
        <v>45886</v>
      </c>
      <c r="B291" s="12" t="n">
        <v>7419021.03</v>
      </c>
      <c r="C291" s="14" t="n">
        <v>0</v>
      </c>
    </row>
    <row r="292" customFormat="false" ht="15" hidden="false" customHeight="false" outlineLevel="0" collapsed="false">
      <c r="A292" s="30" t="n">
        <v>45887</v>
      </c>
      <c r="B292" s="12" t="n">
        <v>7419021.03</v>
      </c>
      <c r="C292" s="14" t="n">
        <v>0</v>
      </c>
    </row>
    <row r="293" customFormat="false" ht="15" hidden="false" customHeight="false" outlineLevel="0" collapsed="false">
      <c r="A293" s="30" t="n">
        <v>45888</v>
      </c>
      <c r="B293" s="12" t="n">
        <v>7419021.03</v>
      </c>
      <c r="C293" s="14" t="n">
        <v>0</v>
      </c>
    </row>
    <row r="294" customFormat="false" ht="15" hidden="false" customHeight="false" outlineLevel="0" collapsed="false">
      <c r="A294" s="30" t="n">
        <v>45889</v>
      </c>
      <c r="B294" s="12" t="n">
        <v>7273383.03</v>
      </c>
      <c r="C294" s="14" t="n">
        <v>0</v>
      </c>
    </row>
    <row r="295" customFormat="false" ht="15" hidden="false" customHeight="false" outlineLevel="0" collapsed="false">
      <c r="A295" s="30" t="n">
        <v>45890</v>
      </c>
      <c r="B295" s="12" t="n">
        <v>7273383.03</v>
      </c>
      <c r="C295" s="14" t="n">
        <v>0</v>
      </c>
    </row>
    <row r="296" customFormat="false" ht="15" hidden="false" customHeight="false" outlineLevel="0" collapsed="false">
      <c r="A296" s="30" t="n">
        <v>45891</v>
      </c>
      <c r="B296" s="12" t="n">
        <v>7273383.03</v>
      </c>
      <c r="C296" s="14" t="n">
        <v>0</v>
      </c>
    </row>
    <row r="297" customFormat="false" ht="15" hidden="false" customHeight="false" outlineLevel="0" collapsed="false">
      <c r="A297" s="30" t="n">
        <v>45892</v>
      </c>
      <c r="B297" s="12" t="n">
        <v>7273383.03</v>
      </c>
      <c r="C297" s="14" t="n">
        <v>0</v>
      </c>
    </row>
    <row r="298" customFormat="false" ht="15" hidden="false" customHeight="false" outlineLevel="0" collapsed="false">
      <c r="A298" s="30" t="n">
        <v>45893</v>
      </c>
      <c r="B298" s="12" t="n">
        <v>7273383.03</v>
      </c>
      <c r="C298" s="14" t="n">
        <v>0</v>
      </c>
    </row>
    <row r="299" customFormat="false" ht="15" hidden="false" customHeight="false" outlineLevel="0" collapsed="false">
      <c r="A299" s="30" t="n">
        <v>45894</v>
      </c>
      <c r="B299" s="12" t="n">
        <v>7972710.78</v>
      </c>
      <c r="C299" s="14" t="n">
        <v>0</v>
      </c>
    </row>
    <row r="300" customFormat="false" ht="15" hidden="false" customHeight="false" outlineLevel="0" collapsed="false">
      <c r="A300" s="30" t="n">
        <v>45895</v>
      </c>
      <c r="B300" s="12" t="n">
        <v>7972710.78</v>
      </c>
      <c r="C300" s="14" t="n">
        <v>0</v>
      </c>
    </row>
    <row r="301" customFormat="false" ht="15" hidden="false" customHeight="false" outlineLevel="0" collapsed="false">
      <c r="A301" s="30" t="n">
        <v>45896</v>
      </c>
      <c r="B301" s="12" t="n">
        <v>7972710.78</v>
      </c>
      <c r="C301" s="14" t="n">
        <v>0</v>
      </c>
    </row>
    <row r="302" customFormat="false" ht="15" hidden="false" customHeight="false" outlineLevel="0" collapsed="false">
      <c r="A302" s="30" t="n">
        <v>45897</v>
      </c>
      <c r="B302" s="12" t="n">
        <v>7972710.78</v>
      </c>
      <c r="C302" s="14" t="n">
        <v>0</v>
      </c>
    </row>
    <row r="303" customFormat="false" ht="15" hidden="false" customHeight="false" outlineLevel="0" collapsed="false">
      <c r="A303" s="30" t="n">
        <v>45898</v>
      </c>
      <c r="B303" s="12" t="n">
        <v>7972710.78</v>
      </c>
      <c r="C303" s="14" t="n">
        <v>0</v>
      </c>
    </row>
    <row r="304" customFormat="false" ht="15" hidden="false" customHeight="false" outlineLevel="0" collapsed="false">
      <c r="A304" s="30" t="n">
        <v>45899</v>
      </c>
      <c r="B304" s="12" t="n">
        <v>7972710.78</v>
      </c>
      <c r="C304" s="14" t="n">
        <v>0</v>
      </c>
    </row>
    <row r="305" customFormat="false" ht="15" hidden="false" customHeight="false" outlineLevel="0" collapsed="false">
      <c r="A305" s="30" t="n">
        <v>45900</v>
      </c>
      <c r="B305" s="12" t="n">
        <v>7972710.78</v>
      </c>
      <c r="C305" s="14" t="n">
        <v>0</v>
      </c>
    </row>
    <row r="306" customFormat="false" ht="15" hidden="false" customHeight="false" outlineLevel="0" collapsed="false">
      <c r="A306" s="30" t="n">
        <v>45901</v>
      </c>
      <c r="B306" s="12" t="n">
        <v>4794695.78</v>
      </c>
      <c r="C306" s="14" t="n">
        <v>0</v>
      </c>
    </row>
    <row r="307" customFormat="false" ht="15" hidden="false" customHeight="false" outlineLevel="0" collapsed="false">
      <c r="A307" s="30" t="n">
        <v>45902</v>
      </c>
      <c r="B307" s="12" t="n">
        <v>4794695.78</v>
      </c>
      <c r="C307" s="14" t="n">
        <v>0</v>
      </c>
    </row>
    <row r="308" customFormat="false" ht="15" hidden="false" customHeight="false" outlineLevel="0" collapsed="false">
      <c r="A308" s="30" t="n">
        <v>45903</v>
      </c>
      <c r="B308" s="12" t="n">
        <v>4414355.83</v>
      </c>
      <c r="C308" s="14" t="n">
        <v>0</v>
      </c>
    </row>
    <row r="309" customFormat="false" ht="15" hidden="false" customHeight="false" outlineLevel="0" collapsed="false">
      <c r="A309" s="30" t="n">
        <v>45904</v>
      </c>
      <c r="B309" s="12" t="n">
        <v>4414355.83</v>
      </c>
      <c r="C309" s="14" t="n">
        <v>0</v>
      </c>
    </row>
    <row r="310" customFormat="false" ht="15" hidden="false" customHeight="false" outlineLevel="0" collapsed="false">
      <c r="A310" s="30" t="n">
        <v>45905</v>
      </c>
      <c r="B310" s="12" t="n">
        <v>4094355.83</v>
      </c>
      <c r="C310" s="14" t="n">
        <v>0</v>
      </c>
    </row>
    <row r="311" customFormat="false" ht="15" hidden="false" customHeight="false" outlineLevel="0" collapsed="false">
      <c r="A311" s="30" t="n">
        <v>45906</v>
      </c>
      <c r="B311" s="12" t="n">
        <v>4094355.83</v>
      </c>
      <c r="C311" s="14" t="n">
        <v>0</v>
      </c>
    </row>
    <row r="312" customFormat="false" ht="15" hidden="false" customHeight="false" outlineLevel="0" collapsed="false">
      <c r="A312" s="30" t="n">
        <v>45907</v>
      </c>
      <c r="B312" s="12" t="n">
        <v>4094355.83</v>
      </c>
      <c r="C312" s="14" t="n">
        <v>0</v>
      </c>
    </row>
    <row r="313" customFormat="false" ht="15" hidden="false" customHeight="false" outlineLevel="0" collapsed="false">
      <c r="A313" s="30" t="n">
        <v>45908</v>
      </c>
      <c r="B313" s="12" t="n">
        <v>5250126.41</v>
      </c>
      <c r="C313" s="14" t="n">
        <v>0</v>
      </c>
    </row>
    <row r="314" customFormat="false" ht="15" hidden="false" customHeight="false" outlineLevel="0" collapsed="false">
      <c r="A314" s="30" t="n">
        <v>45909</v>
      </c>
      <c r="B314" s="12" t="n">
        <v>5250126.41</v>
      </c>
      <c r="C314" s="14" t="n">
        <v>0</v>
      </c>
    </row>
    <row r="315" customFormat="false" ht="15" hidden="false" customHeight="false" outlineLevel="0" collapsed="false">
      <c r="A315" s="30" t="n">
        <v>45910</v>
      </c>
      <c r="B315" s="12" t="n">
        <v>5250126.41</v>
      </c>
      <c r="C315" s="14" t="n">
        <v>0</v>
      </c>
    </row>
    <row r="316" customFormat="false" ht="15" hidden="false" customHeight="false" outlineLevel="0" collapsed="false">
      <c r="A316" s="30" t="n">
        <v>45911</v>
      </c>
      <c r="B316" s="12" t="n">
        <v>5250126.41</v>
      </c>
      <c r="C316" s="14" t="n">
        <v>0</v>
      </c>
    </row>
    <row r="317" customFormat="false" ht="15" hidden="false" customHeight="false" outlineLevel="0" collapsed="false">
      <c r="A317" s="30" t="n">
        <v>45912</v>
      </c>
      <c r="B317" s="12" t="n">
        <v>5772601.12</v>
      </c>
      <c r="C317" s="14" t="n">
        <v>0</v>
      </c>
    </row>
    <row r="318" customFormat="false" ht="15" hidden="false" customHeight="false" outlineLevel="0" collapsed="false">
      <c r="A318" s="30" t="n">
        <v>45913</v>
      </c>
      <c r="B318" s="12" t="n">
        <v>5772601.12</v>
      </c>
      <c r="C318" s="14" t="n">
        <v>0</v>
      </c>
    </row>
    <row r="319" customFormat="false" ht="15" hidden="false" customHeight="false" outlineLevel="0" collapsed="false">
      <c r="A319" s="30" t="n">
        <v>45914</v>
      </c>
      <c r="B319" s="12" t="n">
        <v>5772601.12</v>
      </c>
      <c r="C319" s="14" t="n">
        <v>0</v>
      </c>
    </row>
    <row r="320" customFormat="false" ht="15" hidden="false" customHeight="false" outlineLevel="0" collapsed="false">
      <c r="A320" s="30" t="n">
        <v>45915</v>
      </c>
      <c r="B320" s="12" t="n">
        <v>7982685.17</v>
      </c>
      <c r="C320" s="14" t="n">
        <v>0</v>
      </c>
    </row>
    <row r="321" customFormat="false" ht="15" hidden="false" customHeight="false" outlineLevel="0" collapsed="false">
      <c r="A321" s="30" t="n">
        <v>45916</v>
      </c>
      <c r="B321" s="12" t="n">
        <v>7982685.17</v>
      </c>
      <c r="C321" s="14" t="n">
        <v>0</v>
      </c>
    </row>
    <row r="322" customFormat="false" ht="15" hidden="false" customHeight="false" outlineLevel="0" collapsed="false">
      <c r="A322" s="30" t="n">
        <v>45917</v>
      </c>
      <c r="B322" s="12" t="n">
        <v>7982685.17</v>
      </c>
      <c r="C322" s="14" t="n">
        <v>0</v>
      </c>
    </row>
    <row r="323" customFormat="false" ht="15" hidden="false" customHeight="false" outlineLevel="0" collapsed="false">
      <c r="A323" s="30" t="n">
        <v>45918</v>
      </c>
      <c r="B323" s="12" t="n">
        <v>7982685.17</v>
      </c>
      <c r="C323" s="14" t="n">
        <v>0</v>
      </c>
    </row>
    <row r="324" customFormat="false" ht="15" hidden="false" customHeight="false" outlineLevel="0" collapsed="false">
      <c r="A324" s="30" t="n">
        <v>45919</v>
      </c>
      <c r="B324" s="12" t="n">
        <v>7982685.17</v>
      </c>
      <c r="C324" s="14" t="n">
        <v>0</v>
      </c>
    </row>
    <row r="325" customFormat="false" ht="15" hidden="false" customHeight="false" outlineLevel="0" collapsed="false">
      <c r="A325" s="30" t="n">
        <v>45920</v>
      </c>
      <c r="B325" s="12" t="n">
        <v>7982685.17</v>
      </c>
      <c r="C325" s="14" t="n">
        <v>0</v>
      </c>
    </row>
    <row r="326" customFormat="false" ht="15" hidden="false" customHeight="false" outlineLevel="0" collapsed="false">
      <c r="A326" s="30" t="n">
        <v>45921</v>
      </c>
      <c r="B326" s="12" t="n">
        <v>7982685.17</v>
      </c>
      <c r="C326" s="14" t="n">
        <v>0</v>
      </c>
    </row>
    <row r="327" customFormat="false" ht="15" hidden="false" customHeight="false" outlineLevel="0" collapsed="false">
      <c r="A327" s="30" t="n">
        <v>45922</v>
      </c>
      <c r="B327" s="12" t="n">
        <v>7849476.17</v>
      </c>
      <c r="C327" s="14" t="n">
        <v>0</v>
      </c>
    </row>
    <row r="328" customFormat="false" ht="15" hidden="false" customHeight="false" outlineLevel="0" collapsed="false">
      <c r="A328" s="30" t="n">
        <v>45923</v>
      </c>
      <c r="B328" s="12" t="n">
        <v>7849476.17</v>
      </c>
      <c r="C328" s="14" t="n">
        <v>0</v>
      </c>
    </row>
    <row r="329" customFormat="false" ht="15" hidden="false" customHeight="false" outlineLevel="0" collapsed="false">
      <c r="A329" s="30" t="n">
        <v>45924</v>
      </c>
      <c r="B329" s="12" t="n">
        <v>7589476.17</v>
      </c>
      <c r="C329" s="14" t="n">
        <v>0</v>
      </c>
    </row>
    <row r="330" customFormat="false" ht="15" hidden="false" customHeight="false" outlineLevel="0" collapsed="false">
      <c r="A330" s="30" t="n">
        <v>45925</v>
      </c>
      <c r="B330" s="12" t="n">
        <v>7589476.17</v>
      </c>
      <c r="C330" s="14" t="n">
        <v>0</v>
      </c>
    </row>
    <row r="331" customFormat="false" ht="15" hidden="false" customHeight="false" outlineLevel="0" collapsed="false">
      <c r="A331" s="30" t="n">
        <v>45926</v>
      </c>
      <c r="B331" s="12" t="n">
        <v>7589476.17</v>
      </c>
      <c r="C331" s="14" t="n">
        <v>0</v>
      </c>
    </row>
    <row r="332" customFormat="false" ht="15" hidden="false" customHeight="false" outlineLevel="0" collapsed="false">
      <c r="A332" s="30" t="n">
        <v>45927</v>
      </c>
      <c r="B332" s="12" t="n">
        <v>7589476.17</v>
      </c>
      <c r="C332" s="14" t="n">
        <v>0</v>
      </c>
    </row>
    <row r="333" customFormat="false" ht="15" hidden="false" customHeight="false" outlineLevel="0" collapsed="false">
      <c r="A333" s="30" t="n">
        <v>45928</v>
      </c>
      <c r="B333" s="12" t="n">
        <v>7589476.17</v>
      </c>
      <c r="C333" s="14" t="n">
        <v>0</v>
      </c>
    </row>
    <row r="334" customFormat="false" ht="15" hidden="false" customHeight="false" outlineLevel="0" collapsed="false">
      <c r="A334" s="30" t="n">
        <v>45929</v>
      </c>
      <c r="B334" s="12" t="n">
        <v>7589476.17</v>
      </c>
      <c r="C334" s="14" t="n">
        <v>0</v>
      </c>
    </row>
    <row r="335" customFormat="false" ht="15" hidden="false" customHeight="false" outlineLevel="0" collapsed="false">
      <c r="A335" s="30" t="n">
        <v>45930</v>
      </c>
      <c r="B335" s="12" t="n">
        <v>7589476.17</v>
      </c>
      <c r="C335" s="14" t="n">
        <v>0</v>
      </c>
    </row>
    <row r="336" customFormat="false" ht="15" hidden="false" customHeight="false" outlineLevel="0" collapsed="false">
      <c r="A336" s="30" t="n">
        <v>45931</v>
      </c>
      <c r="B336" s="12" t="n">
        <v>4387165.17</v>
      </c>
      <c r="C336" s="14" t="n">
        <v>0</v>
      </c>
    </row>
    <row r="337" customFormat="false" ht="15" hidden="false" customHeight="false" outlineLevel="0" collapsed="false">
      <c r="A337" s="30" t="n">
        <v>45932</v>
      </c>
      <c r="B337" s="12" t="n">
        <v>4387165.17</v>
      </c>
      <c r="C337" s="14" t="n">
        <v>0</v>
      </c>
    </row>
    <row r="338" customFormat="false" ht="15" hidden="false" customHeight="false" outlineLevel="0" collapsed="false">
      <c r="A338" s="30" t="n">
        <v>45933</v>
      </c>
      <c r="B338" s="12" t="n">
        <v>3992108.6</v>
      </c>
      <c r="C338" s="14" t="n">
        <v>0</v>
      </c>
    </row>
    <row r="339" customFormat="false" ht="15" hidden="false" customHeight="false" outlineLevel="0" collapsed="false">
      <c r="A339" s="30" t="n">
        <v>45934</v>
      </c>
      <c r="B339" s="12" t="n">
        <v>3992108.6</v>
      </c>
      <c r="C339" s="14" t="n">
        <v>0</v>
      </c>
    </row>
    <row r="340" customFormat="false" ht="15" hidden="false" customHeight="false" outlineLevel="0" collapsed="false">
      <c r="A340" s="30" t="n">
        <v>45935</v>
      </c>
      <c r="B340" s="12" t="n">
        <v>3992108.6</v>
      </c>
      <c r="C340" s="14" t="n">
        <v>0</v>
      </c>
    </row>
    <row r="341" customFormat="false" ht="15" hidden="false" customHeight="false" outlineLevel="0" collapsed="false">
      <c r="A341" s="30" t="n">
        <v>45936</v>
      </c>
      <c r="B341" s="12" t="n">
        <v>4243485.6</v>
      </c>
      <c r="C341" s="14" t="n">
        <v>0</v>
      </c>
    </row>
    <row r="342" customFormat="false" ht="15" hidden="false" customHeight="false" outlineLevel="0" collapsed="false">
      <c r="A342" s="30" t="n">
        <v>45937</v>
      </c>
      <c r="B342" s="12" t="n">
        <v>4142720.3</v>
      </c>
      <c r="C342" s="14" t="n">
        <v>0</v>
      </c>
    </row>
    <row r="343" customFormat="false" ht="15" hidden="false" customHeight="false" outlineLevel="0" collapsed="false">
      <c r="A343" s="30" t="n">
        <v>45938</v>
      </c>
      <c r="B343" s="12" t="n">
        <v>4515041.68</v>
      </c>
      <c r="C343" s="14" t="n">
        <v>0</v>
      </c>
    </row>
    <row r="344" customFormat="false" ht="15" hidden="false" customHeight="false" outlineLevel="0" collapsed="false">
      <c r="A344" s="30" t="n">
        <v>45939</v>
      </c>
      <c r="B344" s="12" t="n">
        <v>4515041.68</v>
      </c>
      <c r="C344" s="14" t="n">
        <v>0</v>
      </c>
    </row>
    <row r="345" customFormat="false" ht="15" hidden="false" customHeight="false" outlineLevel="0" collapsed="false">
      <c r="A345" s="30" t="n">
        <v>45940</v>
      </c>
      <c r="B345" s="12" t="n">
        <v>3739038.95</v>
      </c>
      <c r="C345" s="14" t="n">
        <v>0</v>
      </c>
    </row>
    <row r="346" customFormat="false" ht="15" hidden="false" customHeight="false" outlineLevel="0" collapsed="false">
      <c r="A346" s="30" t="n">
        <v>45941</v>
      </c>
      <c r="B346" s="12" t="n">
        <v>3739038.95</v>
      </c>
      <c r="C346" s="14" t="n">
        <v>0</v>
      </c>
    </row>
    <row r="347" customFormat="false" ht="15" hidden="false" customHeight="false" outlineLevel="0" collapsed="false">
      <c r="A347" s="30" t="n">
        <v>45942</v>
      </c>
      <c r="B347" s="12" t="n">
        <v>3739038.95</v>
      </c>
      <c r="C347" s="14" t="n">
        <v>0</v>
      </c>
    </row>
    <row r="348" customFormat="false" ht="15" hidden="false" customHeight="false" outlineLevel="0" collapsed="false">
      <c r="A348" s="30" t="n">
        <v>45943</v>
      </c>
      <c r="B348" s="12" t="n">
        <v>6593266.01</v>
      </c>
      <c r="C348" s="14" t="n">
        <v>0</v>
      </c>
    </row>
    <row r="349" customFormat="false" ht="15" hidden="false" customHeight="false" outlineLevel="0" collapsed="false">
      <c r="A349" s="30" t="n">
        <v>45944</v>
      </c>
      <c r="B349" s="12" t="n">
        <v>6593266.01</v>
      </c>
      <c r="C349" s="14" t="n">
        <v>0</v>
      </c>
    </row>
    <row r="350" customFormat="false" ht="15" hidden="false" customHeight="false" outlineLevel="0" collapsed="false">
      <c r="A350" s="30" t="n">
        <v>45945</v>
      </c>
      <c r="B350" s="12" t="n">
        <v>6593266.01</v>
      </c>
      <c r="C350" s="14" t="n">
        <v>0</v>
      </c>
    </row>
    <row r="351" customFormat="false" ht="15" hidden="false" customHeight="false" outlineLevel="0" collapsed="false">
      <c r="A351" s="30" t="n">
        <v>45946</v>
      </c>
      <c r="B351" s="12" t="n">
        <v>6593266.01</v>
      </c>
      <c r="C351" s="14" t="n">
        <v>0</v>
      </c>
    </row>
    <row r="352" customFormat="false" ht="15" hidden="false" customHeight="false" outlineLevel="0" collapsed="false">
      <c r="A352" s="30" t="n">
        <v>45947</v>
      </c>
      <c r="B352" s="12" t="n">
        <v>6593266.01</v>
      </c>
      <c r="C352" s="14" t="n">
        <v>0</v>
      </c>
    </row>
    <row r="353" customFormat="false" ht="15" hidden="false" customHeight="false" outlineLevel="0" collapsed="false">
      <c r="A353" s="30" t="n">
        <v>45948</v>
      </c>
      <c r="B353" s="12" t="n">
        <v>6593266.01</v>
      </c>
      <c r="C353" s="14" t="n">
        <v>0</v>
      </c>
    </row>
    <row r="354" customFormat="false" ht="15" hidden="false" customHeight="false" outlineLevel="0" collapsed="false">
      <c r="A354" s="30" t="n">
        <v>45949</v>
      </c>
      <c r="B354" s="12" t="n">
        <v>6593266.01</v>
      </c>
      <c r="C354" s="14" t="n">
        <v>0</v>
      </c>
    </row>
    <row r="355" customFormat="false" ht="15" hidden="false" customHeight="false" outlineLevel="0" collapsed="false">
      <c r="A355" s="30" t="n">
        <v>45950</v>
      </c>
      <c r="B355" s="12" t="n">
        <v>6397307.01</v>
      </c>
      <c r="C355" s="14" t="n">
        <v>0</v>
      </c>
    </row>
    <row r="356" customFormat="false" ht="15" hidden="false" customHeight="false" outlineLevel="0" collapsed="false">
      <c r="A356" s="30" t="n">
        <v>45951</v>
      </c>
      <c r="B356" s="12" t="n">
        <v>6397307.01</v>
      </c>
      <c r="C356" s="14" t="n">
        <v>0</v>
      </c>
    </row>
    <row r="357" customFormat="false" ht="15" hidden="false" customHeight="false" outlineLevel="0" collapsed="false">
      <c r="A357" s="30" t="n">
        <v>45952</v>
      </c>
      <c r="B357" s="12" t="n">
        <v>6397307.01</v>
      </c>
      <c r="C357" s="14" t="n">
        <v>0</v>
      </c>
    </row>
    <row r="358" customFormat="false" ht="15" hidden="false" customHeight="false" outlineLevel="0" collapsed="false">
      <c r="A358" s="30" t="n">
        <v>45953</v>
      </c>
      <c r="B358" s="12" t="n">
        <v>6397307.01</v>
      </c>
      <c r="C358" s="14" t="n">
        <v>0</v>
      </c>
    </row>
    <row r="359" customFormat="false" ht="15" hidden="false" customHeight="false" outlineLevel="0" collapsed="false">
      <c r="A359" s="30" t="n">
        <v>45954</v>
      </c>
      <c r="B359" s="12" t="n">
        <v>6397307.01</v>
      </c>
      <c r="C359" s="14" t="n">
        <v>0</v>
      </c>
    </row>
    <row r="360" customFormat="false" ht="15" hidden="false" customHeight="false" outlineLevel="0" collapsed="false">
      <c r="A360" s="30" t="n">
        <v>45955</v>
      </c>
      <c r="B360" s="12" t="n">
        <v>6397307.01</v>
      </c>
      <c r="C360" s="14" t="n">
        <v>0</v>
      </c>
    </row>
    <row r="361" customFormat="false" ht="15" hidden="false" customHeight="false" outlineLevel="0" collapsed="false">
      <c r="A361" s="30" t="n">
        <v>45956</v>
      </c>
      <c r="B361" s="12" t="n">
        <v>6397307.01</v>
      </c>
      <c r="C361" s="14" t="n">
        <v>0</v>
      </c>
    </row>
    <row r="362" customFormat="false" ht="15" hidden="false" customHeight="false" outlineLevel="0" collapsed="false">
      <c r="A362" s="30" t="n">
        <v>45957</v>
      </c>
      <c r="B362" s="12" t="n">
        <v>6397307.01</v>
      </c>
      <c r="C362" s="14" t="n">
        <v>0</v>
      </c>
    </row>
    <row r="363" customFormat="false" ht="15" hidden="false" customHeight="false" outlineLevel="0" collapsed="false">
      <c r="A363" s="30" t="n">
        <v>45958</v>
      </c>
      <c r="B363" s="12" t="n">
        <v>6397307.01</v>
      </c>
      <c r="C363" s="14" t="n">
        <v>0</v>
      </c>
    </row>
    <row r="364" customFormat="false" ht="15" hidden="false" customHeight="false" outlineLevel="0" collapsed="false">
      <c r="A364" s="30" t="n">
        <v>45959</v>
      </c>
      <c r="B364" s="12" t="n">
        <v>7098204.97</v>
      </c>
      <c r="C364" s="14" t="n">
        <v>0</v>
      </c>
    </row>
    <row r="365" customFormat="false" ht="15" hidden="false" customHeight="false" outlineLevel="0" collapsed="false">
      <c r="A365" s="30" t="n">
        <v>45960</v>
      </c>
      <c r="B365" s="12" t="n">
        <v>7098204.97</v>
      </c>
      <c r="C365" s="14" t="n">
        <v>0</v>
      </c>
    </row>
    <row r="366" customFormat="false" ht="15" hidden="false" customHeight="false" outlineLevel="0" collapsed="false">
      <c r="A366" s="30" t="n">
        <v>45961</v>
      </c>
      <c r="B366" s="12" t="n">
        <v>7098204.97</v>
      </c>
      <c r="C366" s="14" t="n">
        <v>0</v>
      </c>
    </row>
    <row r="367" customFormat="false" ht="15" hidden="false" customHeight="false" outlineLevel="0" collapsed="false">
      <c r="A367" s="30" t="n">
        <v>45962</v>
      </c>
      <c r="B367" s="12" t="n">
        <v>7098204.97</v>
      </c>
      <c r="C367" s="14" t="n">
        <v>0</v>
      </c>
    </row>
    <row r="368" customFormat="false" ht="15" hidden="false" customHeight="false" outlineLevel="0" collapsed="false">
      <c r="A368" s="30" t="n">
        <v>45963</v>
      </c>
      <c r="B368" s="12" t="n">
        <v>7098204.97</v>
      </c>
      <c r="C368" s="14" t="n">
        <v>0</v>
      </c>
    </row>
    <row r="369" customFormat="false" ht="15" hidden="false" customHeight="false" outlineLevel="0" collapsed="false">
      <c r="A369" s="30" t="n">
        <v>45964</v>
      </c>
      <c r="B369" s="12" t="n">
        <v>3531135.82</v>
      </c>
      <c r="C369" s="14" t="n">
        <v>0</v>
      </c>
    </row>
    <row r="370" customFormat="false" ht="15" hidden="false" customHeight="false" outlineLevel="0" collapsed="false">
      <c r="A370" s="30" t="n">
        <v>45965</v>
      </c>
      <c r="B370" s="12" t="n">
        <v>3531135.82</v>
      </c>
      <c r="C370" s="14" t="n">
        <v>0</v>
      </c>
    </row>
    <row r="371" customFormat="false" ht="15" hidden="false" customHeight="false" outlineLevel="0" collapsed="false">
      <c r="A371" s="30" t="n">
        <v>45966</v>
      </c>
      <c r="B371" s="12" t="n">
        <v>3211135.82</v>
      </c>
      <c r="C371" s="14" t="n">
        <v>0</v>
      </c>
    </row>
    <row r="372" customFormat="false" ht="15" hidden="false" customHeight="false" outlineLevel="0" collapsed="false">
      <c r="A372" s="30" t="n">
        <v>45967</v>
      </c>
      <c r="B372" s="12" t="n">
        <v>3211135.82</v>
      </c>
      <c r="C372" s="14" t="n">
        <v>0</v>
      </c>
    </row>
    <row r="373" customFormat="false" ht="15" hidden="false" customHeight="false" outlineLevel="0" collapsed="false">
      <c r="A373" s="30" t="n">
        <v>45968</v>
      </c>
      <c r="B373" s="12" t="n">
        <v>3109559.14</v>
      </c>
      <c r="C373" s="14" t="n">
        <v>0</v>
      </c>
    </row>
    <row r="374" customFormat="false" ht="15" hidden="false" customHeight="false" outlineLevel="0" collapsed="false">
      <c r="A374" s="30" t="n">
        <v>45969</v>
      </c>
      <c r="B374" s="12" t="n">
        <v>3109559.14</v>
      </c>
      <c r="C374" s="14" t="n">
        <v>0</v>
      </c>
    </row>
    <row r="375" customFormat="false" ht="15" hidden="false" customHeight="false" outlineLevel="0" collapsed="false">
      <c r="A375" s="30" t="n">
        <v>45970</v>
      </c>
      <c r="B375" s="12" t="n">
        <v>3109559.14</v>
      </c>
      <c r="C375" s="14" t="n">
        <v>0</v>
      </c>
    </row>
    <row r="376" customFormat="false" ht="15" hidden="false" customHeight="false" outlineLevel="0" collapsed="false">
      <c r="A376" s="30" t="n">
        <v>45971</v>
      </c>
      <c r="B376" s="12" t="n">
        <v>4811060.39</v>
      </c>
      <c r="C376" s="14" t="n">
        <v>0</v>
      </c>
    </row>
    <row r="377" customFormat="false" ht="15" hidden="false" customHeight="false" outlineLevel="0" collapsed="false">
      <c r="A377" s="30" t="n">
        <v>45972</v>
      </c>
      <c r="B377" s="12" t="n">
        <v>4811060.39</v>
      </c>
      <c r="C377" s="14" t="n">
        <v>0</v>
      </c>
    </row>
    <row r="378" customFormat="false" ht="15" hidden="false" customHeight="false" outlineLevel="0" collapsed="false">
      <c r="A378" s="30" t="n">
        <v>45973</v>
      </c>
      <c r="B378" s="12" t="n">
        <v>5561429.21</v>
      </c>
      <c r="C378" s="14" t="n">
        <v>0</v>
      </c>
    </row>
    <row r="379" customFormat="false" ht="15" hidden="false" customHeight="false" outlineLevel="0" collapsed="false">
      <c r="A379" s="30" t="n">
        <v>45974</v>
      </c>
      <c r="B379" s="12" t="n">
        <v>5561429.21</v>
      </c>
      <c r="C379" s="14" t="n">
        <v>0</v>
      </c>
    </row>
    <row r="380" customFormat="false" ht="15" hidden="false" customHeight="false" outlineLevel="0" collapsed="false">
      <c r="A380" s="30" t="n">
        <v>45975</v>
      </c>
      <c r="B380" s="12" t="n">
        <v>5141429.21</v>
      </c>
      <c r="C380" s="14" t="n">
        <v>0</v>
      </c>
    </row>
    <row r="381" customFormat="false" ht="15" hidden="false" customHeight="false" outlineLevel="0" collapsed="false">
      <c r="A381" s="30" t="n">
        <v>45976</v>
      </c>
      <c r="B381" s="12" t="n">
        <v>5141429.21</v>
      </c>
      <c r="C381" s="14" t="n">
        <v>0</v>
      </c>
    </row>
    <row r="382" customFormat="false" ht="15" hidden="false" customHeight="false" outlineLevel="0" collapsed="false">
      <c r="A382" s="30" t="n">
        <v>45977</v>
      </c>
      <c r="B382" s="12" t="n">
        <v>5141429.21</v>
      </c>
      <c r="C382" s="14" t="n">
        <v>0</v>
      </c>
    </row>
    <row r="383" customFormat="false" ht="15" hidden="false" customHeight="false" outlineLevel="0" collapsed="false">
      <c r="A383" s="30" t="n">
        <v>45978</v>
      </c>
      <c r="B383" s="12" t="n">
        <v>6512490.77</v>
      </c>
      <c r="C383" s="14" t="n">
        <v>0</v>
      </c>
    </row>
    <row r="384" customFormat="false" ht="15" hidden="false" customHeight="false" outlineLevel="0" collapsed="false">
      <c r="A384" s="30" t="n">
        <v>45979</v>
      </c>
      <c r="B384" s="12" t="n">
        <v>6512490.77</v>
      </c>
      <c r="C384" s="14" t="n">
        <v>0</v>
      </c>
    </row>
    <row r="385" customFormat="false" ht="15" hidden="false" customHeight="false" outlineLevel="0" collapsed="false">
      <c r="A385" s="30" t="n">
        <v>45980</v>
      </c>
      <c r="B385" s="12" t="n">
        <v>6512490.77</v>
      </c>
      <c r="C385" s="14" t="n">
        <v>0</v>
      </c>
    </row>
    <row r="386" customFormat="false" ht="15" hidden="false" customHeight="false" outlineLevel="0" collapsed="false">
      <c r="A386" s="30" t="n">
        <v>45981</v>
      </c>
      <c r="B386" s="12" t="n">
        <v>6360388.77</v>
      </c>
      <c r="C386" s="14" t="n">
        <v>0</v>
      </c>
    </row>
    <row r="387" customFormat="false" ht="15" hidden="false" customHeight="false" outlineLevel="0" collapsed="false">
      <c r="A387" s="30" t="n">
        <v>45982</v>
      </c>
      <c r="B387" s="12" t="n">
        <v>6360388.77</v>
      </c>
      <c r="C387" s="14" t="n">
        <v>0</v>
      </c>
    </row>
    <row r="388" customFormat="false" ht="15" hidden="false" customHeight="false" outlineLevel="0" collapsed="false">
      <c r="A388" s="30" t="n">
        <v>45983</v>
      </c>
      <c r="B388" s="12" t="n">
        <v>6360388.77</v>
      </c>
      <c r="C388" s="14" t="n">
        <v>0</v>
      </c>
    </row>
    <row r="389" customFormat="false" ht="15" hidden="false" customHeight="false" outlineLevel="0" collapsed="false">
      <c r="A389" s="30" t="n">
        <v>45984</v>
      </c>
      <c r="B389" s="12" t="n">
        <v>6360388.77</v>
      </c>
      <c r="C389" s="14" t="n">
        <v>0</v>
      </c>
    </row>
    <row r="390" customFormat="false" ht="15" hidden="false" customHeight="false" outlineLevel="0" collapsed="false">
      <c r="A390" s="30" t="n">
        <v>45985</v>
      </c>
      <c r="B390" s="12" t="n">
        <v>7062248.88</v>
      </c>
      <c r="C390" s="14" t="n">
        <v>0</v>
      </c>
    </row>
    <row r="391" customFormat="false" ht="15" hidden="false" customHeight="false" outlineLevel="0" collapsed="false">
      <c r="A391" s="30" t="n">
        <v>45986</v>
      </c>
      <c r="B391" s="12" t="n">
        <v>7062248.88</v>
      </c>
      <c r="C391" s="14" t="n">
        <v>0</v>
      </c>
    </row>
    <row r="392" customFormat="false" ht="15" hidden="false" customHeight="false" outlineLevel="0" collapsed="false">
      <c r="A392" s="30" t="n">
        <v>45987</v>
      </c>
      <c r="B392" s="12" t="n">
        <v>7062248.88</v>
      </c>
      <c r="C392" s="14" t="n">
        <v>0</v>
      </c>
    </row>
    <row r="393" customFormat="false" ht="15" hidden="false" customHeight="false" outlineLevel="0" collapsed="false">
      <c r="A393" s="30" t="n">
        <v>45988</v>
      </c>
      <c r="B393" s="12" t="n">
        <v>7062248.88</v>
      </c>
      <c r="C393" s="14" t="n">
        <v>0</v>
      </c>
    </row>
    <row r="394" customFormat="false" ht="15" hidden="false" customHeight="false" outlineLevel="0" collapsed="false">
      <c r="A394" s="30" t="n">
        <v>45989</v>
      </c>
      <c r="B394" s="12" t="n">
        <v>7062248.88</v>
      </c>
      <c r="C394" s="14" t="n">
        <v>0</v>
      </c>
    </row>
    <row r="395" customFormat="false" ht="15" hidden="false" customHeight="false" outlineLevel="0" collapsed="false">
      <c r="A395" s="30" t="n">
        <v>45990</v>
      </c>
      <c r="B395" s="12" t="n">
        <v>7062248.88</v>
      </c>
      <c r="C395" s="14" t="n">
        <v>0</v>
      </c>
    </row>
    <row r="396" customFormat="false" ht="15" hidden="false" customHeight="false" outlineLevel="0" collapsed="false">
      <c r="A396" s="30" t="n">
        <v>45991</v>
      </c>
      <c r="B396" s="12" t="n">
        <v>7062248.88</v>
      </c>
      <c r="C396" s="14" t="n">
        <v>0</v>
      </c>
    </row>
    <row r="397" customFormat="false" ht="15" hidden="false" customHeight="false" outlineLevel="0" collapsed="false">
      <c r="A397" s="30" t="n">
        <v>45992</v>
      </c>
      <c r="B397" s="12" t="n">
        <v>3873772.88</v>
      </c>
      <c r="C397" s="14" t="n">
        <v>0</v>
      </c>
    </row>
    <row r="398" customFormat="false" ht="15" hidden="false" customHeight="false" outlineLevel="0" collapsed="false">
      <c r="A398" s="30" t="n">
        <v>45993</v>
      </c>
      <c r="B398" s="12" t="n">
        <v>3873772.88</v>
      </c>
      <c r="C398" s="14" t="n">
        <v>0</v>
      </c>
    </row>
    <row r="399" customFormat="false" ht="15" hidden="false" customHeight="false" outlineLevel="0" collapsed="false">
      <c r="A399" s="30" t="n">
        <v>45994</v>
      </c>
      <c r="B399" s="12" t="n">
        <v>3442482.26</v>
      </c>
      <c r="C399" s="14" t="n">
        <v>0</v>
      </c>
    </row>
    <row r="400" customFormat="false" ht="15" hidden="false" customHeight="false" outlineLevel="0" collapsed="false">
      <c r="A400" s="30" t="n">
        <v>45995</v>
      </c>
      <c r="B400" s="12" t="n">
        <v>3442482.26</v>
      </c>
      <c r="C400" s="14" t="n">
        <v>0</v>
      </c>
    </row>
    <row r="401" customFormat="false" ht="15" hidden="false" customHeight="false" outlineLevel="0" collapsed="false">
      <c r="A401" s="30" t="n">
        <v>45996</v>
      </c>
      <c r="B401" s="12" t="n">
        <v>3122482.26</v>
      </c>
      <c r="C401" s="14" t="n">
        <v>0</v>
      </c>
    </row>
    <row r="402" customFormat="false" ht="15" hidden="false" customHeight="false" outlineLevel="0" collapsed="false">
      <c r="A402" s="30" t="n">
        <v>45997</v>
      </c>
      <c r="B402" s="12" t="n">
        <v>3122482.26</v>
      </c>
      <c r="C402" s="14" t="n">
        <v>0</v>
      </c>
    </row>
    <row r="403" customFormat="false" ht="15" hidden="false" customHeight="false" outlineLevel="0" collapsed="false">
      <c r="A403" s="30" t="n">
        <v>45998</v>
      </c>
      <c r="B403" s="12" t="n">
        <v>3122482.26</v>
      </c>
      <c r="C403" s="14" t="n">
        <v>0</v>
      </c>
    </row>
    <row r="404" customFormat="false" ht="15" hidden="false" customHeight="false" outlineLevel="0" collapsed="false">
      <c r="A404" s="30" t="n">
        <v>45999</v>
      </c>
      <c r="B404" s="12" t="n">
        <v>4351184.53</v>
      </c>
      <c r="C404" s="14" t="n">
        <v>0</v>
      </c>
    </row>
    <row r="405" customFormat="false" ht="15" hidden="false" customHeight="false" outlineLevel="0" collapsed="false">
      <c r="A405" s="30" t="n">
        <v>46000</v>
      </c>
      <c r="B405" s="12" t="n">
        <v>4901002.17</v>
      </c>
      <c r="C405" s="14" t="n">
        <v>0</v>
      </c>
    </row>
    <row r="406" customFormat="false" ht="15" hidden="false" customHeight="false" outlineLevel="0" collapsed="false">
      <c r="A406" s="30" t="n">
        <v>46001</v>
      </c>
      <c r="B406" s="12" t="n">
        <v>5318320.03</v>
      </c>
      <c r="C406" s="14" t="n">
        <v>0</v>
      </c>
    </row>
    <row r="407" customFormat="false" ht="15" hidden="false" customHeight="false" outlineLevel="0" collapsed="false">
      <c r="A407" s="30" t="n">
        <v>46002</v>
      </c>
      <c r="B407" s="12" t="n">
        <v>6322945.77</v>
      </c>
      <c r="C407" s="14" t="n">
        <v>0</v>
      </c>
    </row>
    <row r="408" customFormat="false" ht="15" hidden="false" customHeight="false" outlineLevel="0" collapsed="false">
      <c r="A408" s="30" t="n">
        <v>46003</v>
      </c>
      <c r="B408" s="12" t="n">
        <v>6322945.77</v>
      </c>
      <c r="C408" s="14" t="n">
        <v>0</v>
      </c>
    </row>
    <row r="409" customFormat="false" ht="15" hidden="false" customHeight="false" outlineLevel="0" collapsed="false">
      <c r="A409" s="30" t="n">
        <v>46004</v>
      </c>
      <c r="B409" s="12" t="n">
        <v>6322945.77</v>
      </c>
      <c r="C409" s="14" t="n">
        <v>0</v>
      </c>
    </row>
    <row r="410" customFormat="false" ht="15" hidden="false" customHeight="false" outlineLevel="0" collapsed="false">
      <c r="A410" s="30" t="n">
        <v>46005</v>
      </c>
      <c r="B410" s="12" t="n">
        <v>6322945.77</v>
      </c>
      <c r="C410" s="14" t="n">
        <v>0</v>
      </c>
    </row>
    <row r="411" customFormat="false" ht="15" hidden="false" customHeight="false" outlineLevel="0" collapsed="false">
      <c r="A411" s="30" t="n">
        <v>46006</v>
      </c>
      <c r="B411" s="12" t="n">
        <v>7068679.57</v>
      </c>
      <c r="C411" s="14" t="n">
        <v>0</v>
      </c>
    </row>
    <row r="412" customFormat="false" ht="15" hidden="false" customHeight="false" outlineLevel="0" collapsed="false">
      <c r="A412" s="30" t="n">
        <v>46007</v>
      </c>
      <c r="B412" s="12" t="n">
        <v>7068679.57</v>
      </c>
      <c r="C412" s="14" t="n">
        <v>0</v>
      </c>
    </row>
    <row r="413" customFormat="false" ht="15" hidden="false" customHeight="false" outlineLevel="0" collapsed="false">
      <c r="A413" s="30" t="n">
        <v>46008</v>
      </c>
      <c r="B413" s="12" t="n">
        <v>7068679.57</v>
      </c>
      <c r="C413" s="14" t="n">
        <v>0</v>
      </c>
    </row>
    <row r="414" customFormat="false" ht="15" hidden="false" customHeight="false" outlineLevel="0" collapsed="false">
      <c r="A414" s="30" t="n">
        <v>46009</v>
      </c>
      <c r="B414" s="12" t="n">
        <v>7068679.57</v>
      </c>
      <c r="C414" s="14" t="n">
        <v>0</v>
      </c>
    </row>
    <row r="415" customFormat="false" ht="15" hidden="false" customHeight="false" outlineLevel="0" collapsed="false">
      <c r="A415" s="30" t="n">
        <v>46010</v>
      </c>
      <c r="B415" s="12" t="n">
        <v>7068679.57</v>
      </c>
      <c r="C415" s="14" t="n">
        <v>0</v>
      </c>
    </row>
    <row r="416" customFormat="false" ht="15" hidden="false" customHeight="false" outlineLevel="0" collapsed="false">
      <c r="A416" s="30" t="n">
        <v>46011</v>
      </c>
      <c r="B416" s="12" t="n">
        <v>7068679.57</v>
      </c>
      <c r="C416" s="14" t="n">
        <v>0</v>
      </c>
    </row>
    <row r="417" customFormat="false" ht="15" hidden="false" customHeight="false" outlineLevel="0" collapsed="false">
      <c r="A417" s="30" t="n">
        <v>46012</v>
      </c>
      <c r="B417" s="12" t="n">
        <v>7068679.57</v>
      </c>
      <c r="C417" s="14" t="n">
        <v>0</v>
      </c>
    </row>
    <row r="418" customFormat="false" ht="15" hidden="false" customHeight="false" outlineLevel="0" collapsed="false">
      <c r="A418" s="30" t="n">
        <v>46013</v>
      </c>
      <c r="B418" s="12" t="n">
        <v>6917160.57</v>
      </c>
      <c r="C418" s="14" t="n">
        <v>0</v>
      </c>
    </row>
    <row r="419" customFormat="false" ht="15" hidden="false" customHeight="false" outlineLevel="0" collapsed="false">
      <c r="A419" s="30" t="n">
        <v>46014</v>
      </c>
      <c r="B419" s="12" t="n">
        <v>6917160.57</v>
      </c>
      <c r="C419" s="14" t="n">
        <v>0</v>
      </c>
    </row>
    <row r="420" customFormat="false" ht="15" hidden="false" customHeight="false" outlineLevel="0" collapsed="false">
      <c r="A420" s="30" t="n">
        <v>46015</v>
      </c>
      <c r="B420" s="12" t="n">
        <v>6917160.57</v>
      </c>
      <c r="C420" s="14" t="n">
        <v>0</v>
      </c>
    </row>
    <row r="421" customFormat="false" ht="15" hidden="false" customHeight="false" outlineLevel="0" collapsed="false">
      <c r="A421" s="30" t="n">
        <v>46016</v>
      </c>
      <c r="B421" s="12" t="n">
        <v>6917160.57</v>
      </c>
      <c r="C421" s="14" t="n">
        <v>0</v>
      </c>
    </row>
    <row r="422" customFormat="false" ht="15" hidden="false" customHeight="false" outlineLevel="0" collapsed="false">
      <c r="A422" s="30" t="n">
        <v>46017</v>
      </c>
      <c r="B422" s="12" t="n">
        <v>6917160.57</v>
      </c>
      <c r="C422" s="14" t="n">
        <v>0</v>
      </c>
    </row>
    <row r="423" customFormat="false" ht="15" hidden="false" customHeight="false" outlineLevel="0" collapsed="false">
      <c r="A423" s="30" t="n">
        <v>46018</v>
      </c>
      <c r="B423" s="12" t="n">
        <v>6917160.57</v>
      </c>
      <c r="C423" s="14" t="n">
        <v>0</v>
      </c>
    </row>
    <row r="424" customFormat="false" ht="15" hidden="false" customHeight="false" outlineLevel="0" collapsed="false">
      <c r="A424" s="30" t="n">
        <v>46019</v>
      </c>
      <c r="B424" s="12" t="n">
        <v>6917160.57</v>
      </c>
      <c r="C424" s="14" t="n">
        <v>0</v>
      </c>
    </row>
    <row r="425" customFormat="false" ht="15" hidden="false" customHeight="false" outlineLevel="0" collapsed="false">
      <c r="A425" s="30" t="n">
        <v>46020</v>
      </c>
      <c r="B425" s="12" t="n">
        <v>6917160.57</v>
      </c>
      <c r="C425" s="14" t="n">
        <v>0</v>
      </c>
    </row>
    <row r="426" customFormat="false" ht="15" hidden="false" customHeight="false" outlineLevel="0" collapsed="false">
      <c r="A426" s="30" t="n">
        <v>46021</v>
      </c>
      <c r="B426" s="12" t="n">
        <v>6917160.57</v>
      </c>
      <c r="C426" s="14" t="n">
        <v>0</v>
      </c>
    </row>
    <row r="427" customFormat="false" ht="15" hidden="false" customHeight="false" outlineLevel="0" collapsed="false">
      <c r="A427" s="30" t="n">
        <v>46022</v>
      </c>
      <c r="B427" s="12" t="n">
        <v>6917160.57</v>
      </c>
      <c r="C427" s="14" t="n">
        <v>0</v>
      </c>
    </row>
    <row r="428" customFormat="false" ht="15" hidden="false" customHeight="false" outlineLevel="0" collapsed="false">
      <c r="A428" s="30" t="n">
        <v>46023</v>
      </c>
      <c r="B428" s="12" t="n">
        <v>3741169.57</v>
      </c>
      <c r="C428" s="14" t="n">
        <v>0</v>
      </c>
    </row>
    <row r="429" customFormat="false" ht="15" hidden="false" customHeight="false" outlineLevel="0" collapsed="false">
      <c r="A429" s="30" t="n">
        <v>46024</v>
      </c>
      <c r="B429" s="12" t="n">
        <v>3741169.57</v>
      </c>
      <c r="C429" s="14" t="n">
        <v>0</v>
      </c>
    </row>
    <row r="430" customFormat="false" ht="15" hidden="false" customHeight="false" outlineLevel="0" collapsed="false">
      <c r="A430" s="30" t="n">
        <v>46025</v>
      </c>
      <c r="B430" s="12" t="n">
        <v>3741169.57</v>
      </c>
      <c r="C430" s="14" t="n">
        <v>0</v>
      </c>
    </row>
    <row r="431" customFormat="false" ht="15" hidden="false" customHeight="false" outlineLevel="0" collapsed="false">
      <c r="A431" s="30" t="n">
        <v>46026</v>
      </c>
      <c r="B431" s="12" t="n">
        <v>3741169.57</v>
      </c>
      <c r="C431" s="14" t="n">
        <v>0</v>
      </c>
    </row>
    <row r="432" customFormat="false" ht="15" hidden="false" customHeight="false" outlineLevel="0" collapsed="false">
      <c r="A432" s="30" t="n">
        <v>46027</v>
      </c>
      <c r="B432" s="12" t="n">
        <v>3000470.73</v>
      </c>
      <c r="C432" s="14" t="n">
        <v>0</v>
      </c>
    </row>
    <row r="433" customFormat="false" ht="15" hidden="false" customHeight="false" outlineLevel="0" collapsed="false">
      <c r="A433" s="30" t="n">
        <v>46028</v>
      </c>
      <c r="B433" s="12" t="n">
        <v>3000470.73</v>
      </c>
      <c r="C433" s="14" t="n">
        <v>0</v>
      </c>
    </row>
    <row r="434" customFormat="false" ht="15" hidden="false" customHeight="false" outlineLevel="0" collapsed="false">
      <c r="A434" s="30" t="n">
        <v>46029</v>
      </c>
      <c r="B434" s="12" t="n">
        <v>4323536.99</v>
      </c>
      <c r="C434" s="14" t="n">
        <v>0</v>
      </c>
    </row>
    <row r="435" customFormat="false" ht="15" hidden="false" customHeight="false" outlineLevel="0" collapsed="false">
      <c r="A435" s="30" t="n">
        <v>46030</v>
      </c>
      <c r="B435" s="12" t="n">
        <v>4765707.08</v>
      </c>
      <c r="C435" s="14" t="n">
        <v>0</v>
      </c>
    </row>
    <row r="436" customFormat="false" ht="15" hidden="false" customHeight="false" outlineLevel="0" collapsed="false">
      <c r="A436" s="30" t="n">
        <v>46031</v>
      </c>
      <c r="B436" s="12" t="n">
        <v>4765707.08</v>
      </c>
      <c r="C436" s="14" t="n">
        <v>0</v>
      </c>
    </row>
    <row r="437" customFormat="false" ht="15" hidden="false" customHeight="false" outlineLevel="0" collapsed="false">
      <c r="A437" s="30" t="n">
        <v>46032</v>
      </c>
      <c r="B437" s="12" t="n">
        <v>4765707.08</v>
      </c>
      <c r="C437" s="14" t="n">
        <v>0</v>
      </c>
    </row>
    <row r="438" customFormat="false" ht="15" hidden="false" customHeight="false" outlineLevel="0" collapsed="false">
      <c r="A438" s="30" t="n">
        <v>46033</v>
      </c>
      <c r="B438" s="12" t="n">
        <v>4765707.08</v>
      </c>
      <c r="C438" s="14" t="n">
        <v>0</v>
      </c>
    </row>
    <row r="439" customFormat="false" ht="15" hidden="false" customHeight="false" outlineLevel="0" collapsed="false">
      <c r="A439" s="30" t="n">
        <v>46034</v>
      </c>
      <c r="B439" s="12" t="n">
        <v>6870723.64</v>
      </c>
      <c r="C439" s="14" t="n">
        <v>0</v>
      </c>
    </row>
    <row r="440" customFormat="false" ht="15" hidden="false" customHeight="false" outlineLevel="0" collapsed="false">
      <c r="A440" s="30" t="n">
        <v>46035</v>
      </c>
      <c r="B440" s="12" t="n">
        <v>6870723.64</v>
      </c>
      <c r="C440" s="14" t="n">
        <v>0</v>
      </c>
    </row>
    <row r="441" customFormat="false" ht="15" hidden="false" customHeight="false" outlineLevel="0" collapsed="false">
      <c r="A441" s="30" t="n">
        <v>46036</v>
      </c>
      <c r="B441" s="12" t="n">
        <v>6870723.64</v>
      </c>
      <c r="C441" s="14" t="n">
        <v>0</v>
      </c>
    </row>
    <row r="442" customFormat="false" ht="15" hidden="false" customHeight="false" outlineLevel="0" collapsed="false">
      <c r="A442" s="30" t="n">
        <v>46037</v>
      </c>
      <c r="B442" s="12" t="n">
        <v>6870723.64</v>
      </c>
      <c r="C442" s="14" t="n">
        <v>0</v>
      </c>
    </row>
    <row r="443" customFormat="false" ht="15" hidden="false" customHeight="false" outlineLevel="0" collapsed="false">
      <c r="A443" s="30" t="n">
        <v>46038</v>
      </c>
      <c r="B443" s="12" t="n">
        <v>6870723.64</v>
      </c>
      <c r="C443" s="14" t="n">
        <v>0</v>
      </c>
    </row>
    <row r="444" customFormat="false" ht="15" hidden="false" customHeight="false" outlineLevel="0" collapsed="false">
      <c r="A444" s="30" t="n">
        <v>46039</v>
      </c>
      <c r="B444" s="12" t="n">
        <v>6870723.64</v>
      </c>
      <c r="C444" s="14" t="n">
        <v>0</v>
      </c>
    </row>
    <row r="445" customFormat="false" ht="15" hidden="false" customHeight="false" outlineLevel="0" collapsed="false">
      <c r="A445" s="30" t="n">
        <v>46040</v>
      </c>
      <c r="B445" s="12" t="n">
        <v>6870723.64</v>
      </c>
      <c r="C445" s="14" t="n">
        <v>0</v>
      </c>
    </row>
    <row r="446" customFormat="false" ht="15" hidden="false" customHeight="false" outlineLevel="0" collapsed="false">
      <c r="A446" s="30" t="n">
        <v>46041</v>
      </c>
      <c r="B446" s="12" t="n">
        <v>6870723.64</v>
      </c>
      <c r="C446" s="14" t="n">
        <v>0</v>
      </c>
    </row>
    <row r="447" customFormat="false" ht="15" hidden="false" customHeight="false" outlineLevel="0" collapsed="false">
      <c r="A447" s="30" t="n">
        <v>46042</v>
      </c>
      <c r="B447" s="12" t="n">
        <v>6708623.64</v>
      </c>
      <c r="C447" s="14" t="n">
        <v>0</v>
      </c>
    </row>
    <row r="448" customFormat="false" ht="15" hidden="false" customHeight="false" outlineLevel="0" collapsed="false">
      <c r="A448" s="30" t="n">
        <v>46043</v>
      </c>
      <c r="B448" s="12" t="n">
        <v>11483994.02</v>
      </c>
      <c r="C448" s="14" t="n">
        <v>0</v>
      </c>
    </row>
    <row r="449" customFormat="false" ht="15" hidden="false" customHeight="false" outlineLevel="0" collapsed="false">
      <c r="A449" s="30" t="n">
        <v>46044</v>
      </c>
      <c r="B449" s="12" t="n">
        <v>11483994.02</v>
      </c>
      <c r="C449" s="14" t="n">
        <v>0</v>
      </c>
    </row>
    <row r="450" customFormat="false" ht="15" hidden="false" customHeight="false" outlineLevel="0" collapsed="false">
      <c r="A450" s="30" t="n">
        <v>46045</v>
      </c>
      <c r="B450" s="12" t="n">
        <v>11483994.02</v>
      </c>
      <c r="C450" s="14" t="n">
        <v>0</v>
      </c>
    </row>
    <row r="451" customFormat="false" ht="15" hidden="false" customHeight="false" outlineLevel="0" collapsed="false">
      <c r="A451" s="30" t="n">
        <v>46046</v>
      </c>
      <c r="B451" s="12" t="n">
        <v>11483994.02</v>
      </c>
      <c r="C451" s="14" t="n">
        <v>0</v>
      </c>
    </row>
    <row r="452" customFormat="false" ht="15" hidden="false" customHeight="false" outlineLevel="0" collapsed="false">
      <c r="A452" s="30" t="n">
        <v>46047</v>
      </c>
      <c r="B452" s="12" t="n">
        <v>6583994.02</v>
      </c>
      <c r="C452" s="14" t="n">
        <v>0</v>
      </c>
    </row>
    <row r="453" customFormat="false" ht="15" hidden="false" customHeight="false" outlineLevel="0" collapsed="false">
      <c r="A453" s="30" t="n">
        <v>46048</v>
      </c>
      <c r="B453" s="12" t="n">
        <v>6583994.02</v>
      </c>
      <c r="C453" s="14" t="n">
        <v>0</v>
      </c>
    </row>
    <row r="454" customFormat="false" ht="15" hidden="false" customHeight="false" outlineLevel="0" collapsed="false">
      <c r="A454" s="30" t="n">
        <v>46049</v>
      </c>
      <c r="B454" s="12" t="n">
        <v>6583994.02</v>
      </c>
      <c r="C454" s="14" t="n">
        <v>0</v>
      </c>
    </row>
    <row r="455" customFormat="false" ht="15" hidden="false" customHeight="false" outlineLevel="0" collapsed="false">
      <c r="A455" s="30" t="n">
        <v>46050</v>
      </c>
      <c r="B455" s="12" t="n">
        <v>6583994.02</v>
      </c>
      <c r="C455" s="14" t="n">
        <v>0</v>
      </c>
    </row>
    <row r="456" customFormat="false" ht="15" hidden="false" customHeight="false" outlineLevel="0" collapsed="false">
      <c r="A456" s="30" t="n">
        <v>46051</v>
      </c>
      <c r="B456" s="12" t="n">
        <v>6583994.02</v>
      </c>
      <c r="C456" s="14" t="n">
        <v>0</v>
      </c>
    </row>
    <row r="457" customFormat="false" ht="15" hidden="false" customHeight="false" outlineLevel="0" collapsed="false">
      <c r="A457" s="30" t="n">
        <v>46052</v>
      </c>
      <c r="B457" s="12" t="n">
        <v>6583994.02</v>
      </c>
      <c r="C457" s="14" t="n">
        <v>0</v>
      </c>
    </row>
    <row r="458" customFormat="false" ht="15" hidden="false" customHeight="false" outlineLevel="0" collapsed="false">
      <c r="A458" s="30" t="n">
        <v>46053</v>
      </c>
      <c r="B458" s="12" t="n">
        <v>6583994.02</v>
      </c>
      <c r="C458" s="14" t="n">
        <v>0</v>
      </c>
    </row>
    <row r="459" customFormat="false" ht="15" hidden="false" customHeight="false" outlineLevel="0" collapsed="false">
      <c r="A459" s="30" t="n">
        <v>46054</v>
      </c>
      <c r="B459" s="12" t="n">
        <v>6583994.02</v>
      </c>
      <c r="C459" s="14" t="n">
        <v>0</v>
      </c>
    </row>
    <row r="460" customFormat="false" ht="15" hidden="false" customHeight="false" outlineLevel="0" collapsed="false">
      <c r="A460" s="30" t="n">
        <v>46055</v>
      </c>
      <c r="B460" s="12" t="n">
        <v>3406526.02</v>
      </c>
      <c r="C460" s="14" t="n">
        <v>0</v>
      </c>
    </row>
    <row r="461" customFormat="false" ht="15" hidden="false" customHeight="false" outlineLevel="0" collapsed="false">
      <c r="A461" s="30" t="n">
        <v>46056</v>
      </c>
      <c r="B461" s="12" t="n">
        <v>2943608.35</v>
      </c>
      <c r="C461" s="14" t="n">
        <v>0</v>
      </c>
    </row>
    <row r="462" customFormat="false" ht="15" hidden="false" customHeight="false" outlineLevel="0" collapsed="false">
      <c r="A462" s="30" t="n">
        <v>46057</v>
      </c>
      <c r="B462" s="12" t="n">
        <v>2943608.35</v>
      </c>
      <c r="C462" s="14" t="n">
        <v>0</v>
      </c>
    </row>
    <row r="463" customFormat="false" ht="15" hidden="false" customHeight="false" outlineLevel="0" collapsed="false">
      <c r="A463" s="30" t="n">
        <v>46058</v>
      </c>
      <c r="B463" s="12" t="n">
        <v>2623608.35</v>
      </c>
      <c r="C463" s="14" t="n">
        <v>0</v>
      </c>
    </row>
    <row r="464" customFormat="false" ht="15" hidden="false" customHeight="false" outlineLevel="0" collapsed="false">
      <c r="A464" s="30" t="n">
        <v>46059</v>
      </c>
      <c r="B464" s="12" t="n">
        <v>2623608.35</v>
      </c>
      <c r="C464" s="14" t="n">
        <v>0</v>
      </c>
    </row>
    <row r="465" customFormat="false" ht="15" hidden="false" customHeight="false" outlineLevel="0" collapsed="false">
      <c r="A465" s="30" t="n">
        <v>46060</v>
      </c>
      <c r="B465" s="12" t="n">
        <v>2623608.35</v>
      </c>
      <c r="C465" s="14" t="n">
        <v>0</v>
      </c>
    </row>
    <row r="466" customFormat="false" ht="15" hidden="false" customHeight="false" outlineLevel="0" collapsed="false">
      <c r="A466" s="30" t="n">
        <v>46061</v>
      </c>
      <c r="B466" s="12" t="n">
        <v>2623608.35</v>
      </c>
      <c r="C466" s="14" t="n">
        <v>0</v>
      </c>
    </row>
    <row r="467" customFormat="false" ht="15" hidden="false" customHeight="false" outlineLevel="0" collapsed="false">
      <c r="A467" s="30" t="n">
        <v>46062</v>
      </c>
      <c r="B467" s="12" t="n">
        <v>4509651.21</v>
      </c>
      <c r="C467" s="14" t="n">
        <v>0</v>
      </c>
    </row>
    <row r="468" customFormat="false" ht="15" hidden="false" customHeight="false" outlineLevel="0" collapsed="false">
      <c r="A468" s="30" t="n">
        <v>46063</v>
      </c>
      <c r="B468" s="12" t="n">
        <v>4509651.21</v>
      </c>
      <c r="C468" s="14" t="n">
        <v>0</v>
      </c>
    </row>
    <row r="469" customFormat="false" ht="15" hidden="false" customHeight="false" outlineLevel="0" collapsed="false">
      <c r="A469" s="30" t="n">
        <v>46064</v>
      </c>
      <c r="B469" s="12" t="n">
        <v>4509651.21</v>
      </c>
      <c r="C469" s="14" t="n">
        <v>0</v>
      </c>
    </row>
    <row r="470" customFormat="false" ht="15" hidden="false" customHeight="false" outlineLevel="0" collapsed="false">
      <c r="A470" s="30" t="n">
        <v>46065</v>
      </c>
      <c r="B470" s="12" t="n">
        <v>4509651.21</v>
      </c>
      <c r="C470" s="14" t="n">
        <v>0</v>
      </c>
    </row>
    <row r="471" customFormat="false" ht="15" hidden="false" customHeight="false" outlineLevel="0" collapsed="false">
      <c r="A471" s="30" t="n">
        <v>46066</v>
      </c>
      <c r="B471" s="12" t="n">
        <v>5079696.11</v>
      </c>
      <c r="C471" s="14" t="n">
        <v>0</v>
      </c>
    </row>
    <row r="472" customFormat="false" ht="15" hidden="false" customHeight="false" outlineLevel="0" collapsed="false">
      <c r="A472" s="30" t="n">
        <v>46067</v>
      </c>
      <c r="B472" s="12" t="n">
        <v>5079696.11</v>
      </c>
      <c r="C472" s="14" t="n">
        <v>0</v>
      </c>
    </row>
    <row r="473" customFormat="false" ht="15" hidden="false" customHeight="false" outlineLevel="0" collapsed="false">
      <c r="A473" s="30" t="n">
        <v>46068</v>
      </c>
      <c r="B473" s="12" t="n">
        <v>5079696.11</v>
      </c>
      <c r="C473" s="14" t="n">
        <v>0</v>
      </c>
    </row>
    <row r="474" customFormat="false" ht="15" hidden="false" customHeight="false" outlineLevel="0" collapsed="false">
      <c r="A474" s="30" t="n">
        <v>46069</v>
      </c>
      <c r="B474" s="12" t="n">
        <v>7322237.17</v>
      </c>
      <c r="C474" s="14" t="n">
        <v>0</v>
      </c>
    </row>
    <row r="475" customFormat="false" ht="15" hidden="false" customHeight="false" outlineLevel="0" collapsed="false">
      <c r="A475" s="30" t="n">
        <v>46070</v>
      </c>
      <c r="B475" s="12" t="n">
        <v>7322237.17</v>
      </c>
      <c r="C475" s="14" t="n">
        <v>0</v>
      </c>
    </row>
    <row r="476" customFormat="false" ht="15" hidden="false" customHeight="false" outlineLevel="0" collapsed="false">
      <c r="A476" s="30" t="n">
        <v>46071</v>
      </c>
      <c r="B476" s="12" t="n">
        <v>7322237.17</v>
      </c>
      <c r="C476" s="14" t="n">
        <v>0</v>
      </c>
    </row>
    <row r="477" customFormat="false" ht="15" hidden="false" customHeight="false" outlineLevel="0" collapsed="false">
      <c r="A477" s="30" t="n">
        <v>46072</v>
      </c>
      <c r="B477" s="12" t="n">
        <v>7322237.17</v>
      </c>
      <c r="C477" s="14" t="n">
        <v>0</v>
      </c>
    </row>
    <row r="478" customFormat="false" ht="15" hidden="false" customHeight="false" outlineLevel="0" collapsed="false">
      <c r="A478" s="30" t="n">
        <v>46073</v>
      </c>
      <c r="B478" s="12" t="n">
        <v>7132690.17</v>
      </c>
      <c r="C478" s="14" t="n">
        <v>0</v>
      </c>
    </row>
    <row r="479" customFormat="false" ht="15" hidden="false" customHeight="false" outlineLevel="0" collapsed="false">
      <c r="A479" s="30" t="n">
        <v>46074</v>
      </c>
      <c r="B479" s="12" t="n">
        <v>7132690.17</v>
      </c>
      <c r="C479" s="14" t="n">
        <v>0</v>
      </c>
    </row>
    <row r="480" customFormat="false" ht="15" hidden="false" customHeight="false" outlineLevel="0" collapsed="false">
      <c r="A480" s="30" t="n">
        <v>46075</v>
      </c>
      <c r="B480" s="12" t="n">
        <v>7132690.17</v>
      </c>
      <c r="C480" s="14" t="n">
        <v>0</v>
      </c>
    </row>
    <row r="481" customFormat="false" ht="15" hidden="false" customHeight="false" outlineLevel="0" collapsed="false">
      <c r="A481" s="30" t="n">
        <v>46076</v>
      </c>
      <c r="B481" s="12" t="n">
        <v>7132690.17</v>
      </c>
      <c r="C481" s="14" t="n">
        <v>0</v>
      </c>
    </row>
    <row r="482" customFormat="false" ht="15" hidden="false" customHeight="false" outlineLevel="0" collapsed="false">
      <c r="A482" s="30" t="n">
        <v>46077</v>
      </c>
      <c r="B482" s="12" t="n">
        <v>7132690.17</v>
      </c>
      <c r="C482" s="14" t="n">
        <v>0</v>
      </c>
    </row>
    <row r="483" customFormat="false" ht="15" hidden="false" customHeight="false" outlineLevel="0" collapsed="false">
      <c r="A483" s="30" t="n">
        <v>46078</v>
      </c>
      <c r="B483" s="12" t="n">
        <v>7132690.17</v>
      </c>
      <c r="C483" s="14" t="n">
        <v>0</v>
      </c>
    </row>
    <row r="484" customFormat="false" ht="15" hidden="false" customHeight="false" outlineLevel="0" collapsed="false">
      <c r="A484" s="30" t="n">
        <v>46079</v>
      </c>
      <c r="B484" s="12" t="n">
        <v>7132690.17</v>
      </c>
      <c r="C484" s="14" t="n">
        <v>0</v>
      </c>
    </row>
    <row r="485" customFormat="false" ht="15" hidden="false" customHeight="false" outlineLevel="0" collapsed="false">
      <c r="A485" s="30" t="n">
        <v>46080</v>
      </c>
      <c r="B485" s="12" t="n">
        <v>7132690.17</v>
      </c>
      <c r="C485" s="14" t="n">
        <v>0</v>
      </c>
    </row>
    <row r="486" customFormat="false" ht="15" hidden="false" customHeight="false" outlineLevel="0" collapsed="false">
      <c r="A486" s="30" t="n">
        <v>46081</v>
      </c>
      <c r="B486" s="12" t="n">
        <v>7132690.17</v>
      </c>
      <c r="C486" s="14" t="n">
        <v>0</v>
      </c>
    </row>
    <row r="487" customFormat="false" ht="15" hidden="false" customHeight="false" outlineLevel="0" collapsed="false">
      <c r="A487" s="30" t="n">
        <v>46082</v>
      </c>
      <c r="B487" s="12" t="n">
        <v>7132690.17</v>
      </c>
      <c r="C487" s="14" t="n">
        <v>0</v>
      </c>
    </row>
    <row r="488" customFormat="false" ht="15" hidden="false" customHeight="false" outlineLevel="0" collapsed="false">
      <c r="A488" s="30" t="n">
        <v>46083</v>
      </c>
      <c r="B488" s="12" t="n">
        <v>3943087.17</v>
      </c>
      <c r="C488" s="14" t="n">
        <v>0</v>
      </c>
    </row>
    <row r="489" customFormat="false" ht="15" hidden="false" customHeight="false" outlineLevel="0" collapsed="false">
      <c r="A489" s="30" t="n">
        <v>46084</v>
      </c>
      <c r="B489" s="12" t="n">
        <v>3499103.64</v>
      </c>
      <c r="C489" s="14" t="n">
        <v>0</v>
      </c>
    </row>
    <row r="490" customFormat="false" ht="15" hidden="false" customHeight="false" outlineLevel="0" collapsed="false">
      <c r="A490" s="30" t="n">
        <v>46085</v>
      </c>
      <c r="B490" s="12" t="n">
        <v>3499103.64</v>
      </c>
      <c r="C490" s="14" t="n">
        <v>0</v>
      </c>
    </row>
    <row r="491" customFormat="false" ht="15" hidden="false" customHeight="false" outlineLevel="0" collapsed="false">
      <c r="A491" s="30" t="n">
        <v>46086</v>
      </c>
      <c r="B491" s="12" t="n">
        <v>3179103.64</v>
      </c>
      <c r="C491" s="14" t="n">
        <v>0</v>
      </c>
    </row>
    <row r="492" customFormat="false" ht="15" hidden="false" customHeight="false" outlineLevel="0" collapsed="false">
      <c r="A492" s="30" t="n">
        <v>46087</v>
      </c>
      <c r="B492" s="12" t="n">
        <v>3179103.64</v>
      </c>
      <c r="C492" s="14" t="n">
        <v>0</v>
      </c>
    </row>
    <row r="493" customFormat="false" ht="15" hidden="false" customHeight="false" outlineLevel="0" collapsed="false">
      <c r="A493" s="30" t="n">
        <v>46088</v>
      </c>
      <c r="B493" s="12" t="n">
        <v>3179103.64</v>
      </c>
      <c r="C493" s="14" t="n">
        <v>0</v>
      </c>
    </row>
    <row r="494" customFormat="false" ht="15" hidden="false" customHeight="false" outlineLevel="0" collapsed="false">
      <c r="A494" s="30" t="n">
        <v>46089</v>
      </c>
      <c r="B494" s="12" t="n">
        <v>3179103.64</v>
      </c>
      <c r="C494" s="14" t="n">
        <v>0</v>
      </c>
    </row>
    <row r="495" customFormat="false" ht="15" hidden="false" customHeight="false" outlineLevel="0" collapsed="false">
      <c r="A495" s="30" t="n">
        <v>46090</v>
      </c>
      <c r="B495" s="12" t="n">
        <v>5817532.44</v>
      </c>
      <c r="C495" s="14" t="n">
        <v>0</v>
      </c>
    </row>
    <row r="496" customFormat="false" ht="15" hidden="false" customHeight="false" outlineLevel="0" collapsed="false">
      <c r="A496" s="30" t="n">
        <v>46091</v>
      </c>
      <c r="B496" s="12" t="n">
        <v>6407057.87</v>
      </c>
      <c r="C496" s="14" t="n">
        <v>0</v>
      </c>
    </row>
    <row r="497" customFormat="false" ht="15" hidden="false" customHeight="false" outlineLevel="0" collapsed="false">
      <c r="A497" s="30" t="n">
        <v>46092</v>
      </c>
      <c r="B497" s="12" t="n">
        <v>6706116</v>
      </c>
      <c r="C497" s="14" t="n">
        <v>0</v>
      </c>
    </row>
    <row r="498" customFormat="false" ht="15" hidden="false" customHeight="false" outlineLevel="0" collapsed="false">
      <c r="A498" s="30" t="n">
        <v>46093</v>
      </c>
      <c r="B498" s="12" t="n">
        <v>6706116</v>
      </c>
      <c r="C498" s="14" t="n">
        <v>0</v>
      </c>
    </row>
    <row r="499" customFormat="false" ht="15" hidden="false" customHeight="false" outlineLevel="0" collapsed="false">
      <c r="A499" s="30" t="n">
        <v>46094</v>
      </c>
      <c r="B499" s="12" t="n">
        <v>6706116</v>
      </c>
      <c r="C499" s="14" t="n">
        <v>0</v>
      </c>
    </row>
    <row r="500" customFormat="false" ht="15" hidden="false" customHeight="false" outlineLevel="0" collapsed="false">
      <c r="A500" s="30" t="n">
        <v>46095</v>
      </c>
      <c r="B500" s="12" t="n">
        <v>6706116</v>
      </c>
      <c r="C500" s="14" t="n">
        <v>0</v>
      </c>
    </row>
    <row r="501" customFormat="false" ht="15" hidden="false" customHeight="false" outlineLevel="0" collapsed="false">
      <c r="A501" s="30" t="n">
        <v>46096</v>
      </c>
      <c r="B501" s="12" t="n">
        <v>6706116</v>
      </c>
      <c r="C501" s="14" t="n">
        <v>0</v>
      </c>
    </row>
    <row r="502" customFormat="false" ht="15" hidden="false" customHeight="false" outlineLevel="0" collapsed="false">
      <c r="A502" s="30" t="n">
        <v>46097</v>
      </c>
      <c r="B502" s="12" t="n">
        <v>7095472.19</v>
      </c>
      <c r="C502" s="14" t="n">
        <v>0</v>
      </c>
    </row>
    <row r="503" customFormat="false" ht="15" hidden="false" customHeight="false" outlineLevel="0" collapsed="false">
      <c r="A503" s="30" t="n">
        <v>46098</v>
      </c>
      <c r="B503" s="12" t="n">
        <v>7095472.19</v>
      </c>
      <c r="C503" s="14" t="n">
        <v>0</v>
      </c>
    </row>
    <row r="504" customFormat="false" ht="15" hidden="false" customHeight="false" outlineLevel="0" collapsed="false">
      <c r="A504" s="30" t="n">
        <v>46099</v>
      </c>
      <c r="B504" s="12" t="n">
        <v>7095472.19</v>
      </c>
      <c r="C504" s="14" t="n">
        <v>0</v>
      </c>
    </row>
    <row r="505" customFormat="false" ht="15" hidden="false" customHeight="false" outlineLevel="0" collapsed="false">
      <c r="A505" s="30" t="n">
        <v>46100</v>
      </c>
      <c r="B505" s="12" t="n">
        <v>7095472.19</v>
      </c>
      <c r="C505" s="14" t="n">
        <v>0</v>
      </c>
    </row>
    <row r="506" customFormat="false" ht="15" hidden="false" customHeight="false" outlineLevel="0" collapsed="false">
      <c r="A506" s="30" t="n">
        <v>46101</v>
      </c>
      <c r="B506" s="12" t="n">
        <v>6878509.19</v>
      </c>
      <c r="C506" s="14" t="n">
        <v>0</v>
      </c>
    </row>
    <row r="507" customFormat="false" ht="15" hidden="false" customHeight="false" outlineLevel="0" collapsed="false">
      <c r="A507" s="30" t="n">
        <v>46102</v>
      </c>
      <c r="B507" s="12" t="n">
        <v>6878509.19</v>
      </c>
      <c r="C507" s="14" t="n">
        <v>0</v>
      </c>
    </row>
    <row r="508" customFormat="false" ht="15" hidden="false" customHeight="false" outlineLevel="0" collapsed="false">
      <c r="A508" s="30" t="n">
        <v>46103</v>
      </c>
      <c r="B508" s="12" t="n">
        <v>6878509.19</v>
      </c>
      <c r="C508" s="14" t="n">
        <v>0</v>
      </c>
    </row>
    <row r="509" customFormat="false" ht="15" hidden="false" customHeight="false" outlineLevel="0" collapsed="false">
      <c r="A509" s="30" t="n">
        <v>46104</v>
      </c>
      <c r="B509" s="12" t="n">
        <v>6878509.19</v>
      </c>
      <c r="C509" s="14" t="n">
        <v>0</v>
      </c>
    </row>
    <row r="510" customFormat="false" ht="15" hidden="false" customHeight="false" outlineLevel="0" collapsed="false">
      <c r="A510" s="30" t="n">
        <v>46105</v>
      </c>
      <c r="B510" s="12" t="n">
        <v>6878509.19</v>
      </c>
      <c r="C510" s="14" t="n">
        <v>0</v>
      </c>
    </row>
    <row r="511" customFormat="false" ht="15" hidden="false" customHeight="false" outlineLevel="0" collapsed="false">
      <c r="A511" s="30" t="n">
        <v>46106</v>
      </c>
      <c r="B511" s="12" t="n">
        <v>6878509.19</v>
      </c>
      <c r="C511" s="14" t="n">
        <v>0</v>
      </c>
    </row>
    <row r="512" customFormat="false" ht="15" hidden="false" customHeight="false" outlineLevel="0" collapsed="false">
      <c r="A512" s="30" t="n">
        <v>46107</v>
      </c>
      <c r="B512" s="12" t="n">
        <v>6878509.19</v>
      </c>
      <c r="C512" s="14" t="n">
        <v>0</v>
      </c>
    </row>
    <row r="513" customFormat="false" ht="15" hidden="false" customHeight="false" outlineLevel="0" collapsed="false">
      <c r="A513" s="30" t="n">
        <v>46108</v>
      </c>
      <c r="B513" s="12" t="n">
        <v>6878509.19</v>
      </c>
      <c r="C513" s="14" t="n">
        <v>0</v>
      </c>
    </row>
    <row r="514" customFormat="false" ht="15" hidden="false" customHeight="false" outlineLevel="0" collapsed="false">
      <c r="A514" s="30" t="n">
        <v>46109</v>
      </c>
      <c r="B514" s="12" t="n">
        <v>6878509.19</v>
      </c>
      <c r="C514" s="14" t="n">
        <v>0</v>
      </c>
    </row>
    <row r="515" customFormat="false" ht="15" hidden="false" customHeight="false" outlineLevel="0" collapsed="false">
      <c r="A515" s="30" t="n">
        <v>46110</v>
      </c>
      <c r="B515" s="12" t="n">
        <v>6878509.19</v>
      </c>
      <c r="C515" s="14" t="n">
        <v>0</v>
      </c>
    </row>
    <row r="516" customFormat="false" ht="15" hidden="false" customHeight="false" outlineLevel="0" collapsed="false">
      <c r="A516" s="30" t="n">
        <v>46111</v>
      </c>
      <c r="B516" s="12" t="n">
        <v>7635511.22</v>
      </c>
      <c r="C516" s="14" t="n">
        <v>0</v>
      </c>
    </row>
    <row r="517" customFormat="false" ht="15" hidden="false" customHeight="false" outlineLevel="0" collapsed="false">
      <c r="A517" s="30" t="n">
        <v>46112</v>
      </c>
      <c r="B517" s="12" t="n">
        <v>7635511.22</v>
      </c>
      <c r="C517" s="14" t="n">
        <v>0</v>
      </c>
    </row>
    <row r="518" customFormat="false" ht="15" hidden="false" customHeight="false" outlineLevel="0" collapsed="false">
      <c r="A518" s="30" t="n">
        <v>46113</v>
      </c>
      <c r="B518" s="12" t="n">
        <v>4102296.22</v>
      </c>
      <c r="C518" s="14" t="n">
        <v>0</v>
      </c>
    </row>
    <row r="519" customFormat="false" ht="15" hidden="false" customHeight="false" outlineLevel="0" collapsed="false">
      <c r="A519" s="30" t="n">
        <v>46114</v>
      </c>
      <c r="B519" s="12" t="n">
        <v>4102296.22</v>
      </c>
      <c r="C519" s="14" t="n">
        <v>0</v>
      </c>
    </row>
    <row r="520" customFormat="false" ht="15" hidden="false" customHeight="false" outlineLevel="0" collapsed="false">
      <c r="A520" s="30" t="n">
        <v>46115</v>
      </c>
      <c r="B520" s="12" t="n">
        <v>3622530.87</v>
      </c>
      <c r="C520" s="14" t="n">
        <v>0</v>
      </c>
    </row>
    <row r="521" customFormat="false" ht="15" hidden="false" customHeight="false" outlineLevel="0" collapsed="false">
      <c r="A521" s="30" t="n">
        <v>46116</v>
      </c>
      <c r="B521" s="12" t="n">
        <v>3622530.87</v>
      </c>
      <c r="C521" s="14" t="n">
        <v>0</v>
      </c>
    </row>
    <row r="522" customFormat="false" ht="15" hidden="false" customHeight="false" outlineLevel="0" collapsed="false">
      <c r="A522" s="30" t="n">
        <v>46117</v>
      </c>
      <c r="B522" s="12" t="n">
        <v>3622530.87</v>
      </c>
      <c r="C522" s="14" t="n">
        <v>0</v>
      </c>
    </row>
    <row r="523" customFormat="false" ht="15" hidden="false" customHeight="false" outlineLevel="0" collapsed="false">
      <c r="A523" s="30" t="n">
        <v>46118</v>
      </c>
      <c r="B523" s="12" t="n">
        <v>3879949.02</v>
      </c>
      <c r="C523" s="14" t="n">
        <v>0</v>
      </c>
    </row>
    <row r="524" customFormat="false" ht="15" hidden="false" customHeight="false" outlineLevel="0" collapsed="false">
      <c r="A524" s="30" t="n">
        <v>46119</v>
      </c>
      <c r="B524" s="12" t="n">
        <v>4049214.01</v>
      </c>
      <c r="C524" s="14" t="n">
        <v>0</v>
      </c>
    </row>
    <row r="525" customFormat="false" ht="15" hidden="false" customHeight="false" outlineLevel="0" collapsed="false">
      <c r="A525" s="30" t="n">
        <v>46120</v>
      </c>
      <c r="B525" s="12" t="n">
        <v>4049214.01</v>
      </c>
      <c r="C525" s="14" t="n">
        <v>0</v>
      </c>
    </row>
    <row r="526" customFormat="false" ht="15" hidden="false" customHeight="false" outlineLevel="0" collapsed="false">
      <c r="A526" s="30" t="n">
        <v>46121</v>
      </c>
      <c r="B526" s="12" t="n">
        <v>5205596.75</v>
      </c>
      <c r="C526" s="14" t="n">
        <v>0</v>
      </c>
    </row>
    <row r="527" customFormat="false" ht="15" hidden="false" customHeight="false" outlineLevel="0" collapsed="false">
      <c r="A527" s="30" t="n">
        <v>46122</v>
      </c>
      <c r="B527" s="12" t="n">
        <v>5279053.9</v>
      </c>
      <c r="C527" s="14" t="n">
        <v>0</v>
      </c>
    </row>
    <row r="528" customFormat="false" ht="15" hidden="false" customHeight="false" outlineLevel="0" collapsed="false">
      <c r="A528" s="30" t="n">
        <v>46123</v>
      </c>
      <c r="B528" s="12" t="n">
        <v>5279053.9</v>
      </c>
      <c r="C528" s="14" t="n">
        <v>0</v>
      </c>
    </row>
    <row r="529" customFormat="false" ht="15" hidden="false" customHeight="false" outlineLevel="0" collapsed="false">
      <c r="A529" s="30" t="n">
        <v>46124</v>
      </c>
      <c r="B529" s="12" t="n">
        <v>5279053.9</v>
      </c>
      <c r="C529" s="14" t="n">
        <v>0</v>
      </c>
    </row>
    <row r="530" customFormat="false" ht="15" hidden="false" customHeight="false" outlineLevel="0" collapsed="false">
      <c r="A530" s="30" t="n">
        <v>46125</v>
      </c>
      <c r="B530" s="12" t="n">
        <v>7127966.8</v>
      </c>
      <c r="C530" s="14" t="n">
        <v>0</v>
      </c>
    </row>
    <row r="531" customFormat="false" ht="15" hidden="false" customHeight="false" outlineLevel="0" collapsed="false">
      <c r="A531" s="30" t="n">
        <v>46126</v>
      </c>
      <c r="B531" s="12" t="n">
        <v>7127966.8</v>
      </c>
      <c r="C531" s="14" t="n">
        <v>0</v>
      </c>
    </row>
    <row r="532" customFormat="false" ht="15" hidden="false" customHeight="false" outlineLevel="0" collapsed="false">
      <c r="A532" s="30" t="n">
        <v>46127</v>
      </c>
      <c r="B532" s="12" t="n">
        <v>7127966.8</v>
      </c>
      <c r="C532" s="14" t="n">
        <v>0</v>
      </c>
    </row>
    <row r="533" customFormat="false" ht="15" hidden="false" customHeight="false" outlineLevel="0" collapsed="false">
      <c r="A533" s="30" t="n">
        <v>46128</v>
      </c>
      <c r="B533" s="12" t="n">
        <v>7127966.8</v>
      </c>
      <c r="C533" s="14" t="n">
        <v>0</v>
      </c>
    </row>
    <row r="534" customFormat="false" ht="15" hidden="false" customHeight="false" outlineLevel="0" collapsed="false">
      <c r="A534" s="30" t="n">
        <v>46129</v>
      </c>
      <c r="B534" s="12" t="n">
        <v>7127966.8</v>
      </c>
      <c r="C534" s="14" t="n">
        <v>0</v>
      </c>
    </row>
    <row r="535" customFormat="false" ht="15" hidden="false" customHeight="false" outlineLevel="0" collapsed="false">
      <c r="A535" s="30" t="n">
        <v>46130</v>
      </c>
      <c r="B535" s="12" t="n">
        <v>7127966.8</v>
      </c>
      <c r="C535" s="14" t="n">
        <v>0</v>
      </c>
    </row>
    <row r="536" customFormat="false" ht="15" hidden="false" customHeight="false" outlineLevel="0" collapsed="false">
      <c r="A536" s="30" t="n">
        <v>46131</v>
      </c>
      <c r="B536" s="12" t="n">
        <v>7127966.8</v>
      </c>
      <c r="C536" s="14" t="n">
        <v>0</v>
      </c>
    </row>
    <row r="537" customFormat="false" ht="15" hidden="false" customHeight="false" outlineLevel="0" collapsed="false">
      <c r="A537" s="30" t="n">
        <v>46132</v>
      </c>
      <c r="B537" s="12" t="n">
        <v>6898263.8</v>
      </c>
      <c r="C537" s="14" t="n">
        <v>0</v>
      </c>
    </row>
    <row r="538" customFormat="false" ht="15" hidden="false" customHeight="false" outlineLevel="0" collapsed="false">
      <c r="A538" s="30" t="n">
        <v>46133</v>
      </c>
      <c r="B538" s="12" t="n">
        <v>6898263.8</v>
      </c>
      <c r="C538" s="14" t="n">
        <v>0</v>
      </c>
    </row>
    <row r="539" customFormat="false" ht="15" hidden="false" customHeight="false" outlineLevel="0" collapsed="false">
      <c r="A539" s="30" t="n">
        <v>46134</v>
      </c>
      <c r="B539" s="12" t="n">
        <v>6898263.8</v>
      </c>
      <c r="C539" s="14" t="n">
        <v>0</v>
      </c>
    </row>
    <row r="540" customFormat="false" ht="15" hidden="false" customHeight="false" outlineLevel="0" collapsed="false">
      <c r="A540" s="30" t="n">
        <v>46135</v>
      </c>
      <c r="B540" s="12" t="n">
        <v>6898263.8</v>
      </c>
      <c r="C540" s="14" t="n">
        <v>0</v>
      </c>
    </row>
    <row r="541" customFormat="false" ht="15" hidden="false" customHeight="false" outlineLevel="0" collapsed="false">
      <c r="A541" s="30" t="n">
        <v>46136</v>
      </c>
      <c r="B541" s="12" t="n">
        <v>6898263.8</v>
      </c>
      <c r="C541" s="14" t="n">
        <v>0</v>
      </c>
    </row>
    <row r="542" customFormat="false" ht="15" hidden="false" customHeight="false" outlineLevel="0" collapsed="false">
      <c r="A542" s="30" t="n">
        <v>46137</v>
      </c>
      <c r="B542" s="12" t="n">
        <v>6898263.8</v>
      </c>
      <c r="C542" s="14" t="n">
        <v>0</v>
      </c>
    </row>
    <row r="543" customFormat="false" ht="15" hidden="false" customHeight="false" outlineLevel="0" collapsed="false">
      <c r="A543" s="30" t="n">
        <v>46138</v>
      </c>
      <c r="B543" s="12" t="n">
        <v>6898263.8</v>
      </c>
      <c r="C543" s="14" t="n">
        <v>0</v>
      </c>
    </row>
    <row r="544" customFormat="false" ht="15" hidden="false" customHeight="false" outlineLevel="0" collapsed="false">
      <c r="A544" s="30" t="n">
        <v>46139</v>
      </c>
      <c r="B544" s="12" t="n">
        <v>6898263.8</v>
      </c>
      <c r="C544" s="14" t="n">
        <v>0</v>
      </c>
    </row>
    <row r="545" customFormat="false" ht="15" hidden="false" customHeight="false" outlineLevel="0" collapsed="false">
      <c r="A545" s="30" t="n">
        <v>46140</v>
      </c>
      <c r="B545" s="12" t="n">
        <v>6898263.8</v>
      </c>
      <c r="C545" s="14" t="n">
        <v>0</v>
      </c>
    </row>
    <row r="546" customFormat="false" ht="15" hidden="false" customHeight="false" outlineLevel="0" collapsed="false">
      <c r="A546" s="30" t="n">
        <v>46141</v>
      </c>
      <c r="B546" s="12" t="n">
        <v>6898263.8</v>
      </c>
      <c r="C546" s="14" t="n">
        <v>0</v>
      </c>
    </row>
    <row r="547" customFormat="false" ht="15" hidden="false" customHeight="false" outlineLevel="0" collapsed="false">
      <c r="A547" s="30" t="n">
        <v>46142</v>
      </c>
      <c r="B547" s="12" t="n">
        <v>6898263.8</v>
      </c>
      <c r="C547" s="14" t="n">
        <v>0</v>
      </c>
    </row>
    <row r="548" customFormat="false" ht="15" hidden="false" customHeight="false" outlineLevel="0" collapsed="false">
      <c r="A548" s="30" t="n">
        <v>46143</v>
      </c>
      <c r="B548" s="12" t="n">
        <v>3349709.8</v>
      </c>
      <c r="C548" s="14" t="n">
        <v>0</v>
      </c>
    </row>
    <row r="549" customFormat="false" ht="15" hidden="false" customHeight="false" outlineLevel="0" collapsed="false">
      <c r="A549" s="30" t="n">
        <v>46144</v>
      </c>
      <c r="B549" s="12" t="n">
        <v>3349709.8</v>
      </c>
      <c r="C549" s="14" t="n">
        <v>0</v>
      </c>
    </row>
    <row r="550" customFormat="false" ht="15" hidden="false" customHeight="false" outlineLevel="0" collapsed="false">
      <c r="A550" s="30" t="n">
        <v>46145</v>
      </c>
      <c r="B550" s="12" t="n">
        <v>3349709.8</v>
      </c>
      <c r="C550" s="14" t="n">
        <v>0</v>
      </c>
    </row>
    <row r="551" customFormat="false" ht="15" hidden="false" customHeight="false" outlineLevel="0" collapsed="false">
      <c r="A551" s="30" t="n">
        <v>46146</v>
      </c>
      <c r="B551" s="12" t="n">
        <v>2881323.97</v>
      </c>
      <c r="C551" s="14" t="n">
        <v>0</v>
      </c>
    </row>
    <row r="552" customFormat="false" ht="15" hidden="false" customHeight="false" outlineLevel="0" collapsed="false">
      <c r="A552" s="30" t="n">
        <v>46147</v>
      </c>
      <c r="B552" s="12" t="n">
        <v>2545323.97</v>
      </c>
      <c r="C552" s="14" t="n">
        <v>0</v>
      </c>
    </row>
    <row r="553" customFormat="false" ht="15" hidden="false" customHeight="false" outlineLevel="0" collapsed="false">
      <c r="A553" s="30" t="n">
        <v>46148</v>
      </c>
      <c r="B553" s="12" t="n">
        <v>2545323.97</v>
      </c>
      <c r="C553" s="14" t="n">
        <v>0</v>
      </c>
    </row>
    <row r="554" customFormat="false" ht="15" hidden="false" customHeight="false" outlineLevel="0" collapsed="false">
      <c r="A554" s="30" t="n">
        <v>46149</v>
      </c>
      <c r="B554" s="12" t="n">
        <v>2836363.27</v>
      </c>
      <c r="C554" s="14" t="n">
        <v>0</v>
      </c>
    </row>
    <row r="555" customFormat="false" ht="15" hidden="false" customHeight="false" outlineLevel="0" collapsed="false">
      <c r="A555" s="30" t="n">
        <v>46150</v>
      </c>
      <c r="B555" s="12" t="n">
        <v>3520193.87</v>
      </c>
      <c r="C555" s="14" t="n">
        <v>0</v>
      </c>
    </row>
    <row r="556" customFormat="false" ht="15" hidden="false" customHeight="false" outlineLevel="0" collapsed="false">
      <c r="A556" s="30" t="n">
        <v>46151</v>
      </c>
      <c r="B556" s="12" t="n">
        <v>3520193.87</v>
      </c>
      <c r="C556" s="14" t="n">
        <v>0</v>
      </c>
    </row>
    <row r="557" customFormat="false" ht="15" hidden="false" customHeight="false" outlineLevel="0" collapsed="false">
      <c r="A557" s="30" t="n">
        <v>46152</v>
      </c>
      <c r="B557" s="12" t="n">
        <v>3520193.87</v>
      </c>
      <c r="C557" s="14" t="n">
        <v>0</v>
      </c>
    </row>
    <row r="558" customFormat="false" ht="15" hidden="false" customHeight="false" outlineLevel="0" collapsed="false">
      <c r="A558" s="30" t="n">
        <v>46153</v>
      </c>
      <c r="B558" s="12" t="n">
        <v>5555044.06</v>
      </c>
      <c r="C558" s="14" t="n">
        <v>0</v>
      </c>
    </row>
    <row r="559" customFormat="false" ht="15" hidden="false" customHeight="false" outlineLevel="0" collapsed="false">
      <c r="A559" s="30" t="n">
        <v>46154</v>
      </c>
      <c r="B559" s="12" t="n">
        <v>5555044.06</v>
      </c>
      <c r="C559" s="14" t="n">
        <v>0</v>
      </c>
    </row>
    <row r="560" customFormat="false" ht="15" hidden="false" customHeight="false" outlineLevel="0" collapsed="false">
      <c r="A560" s="30" t="n">
        <v>46155</v>
      </c>
      <c r="B560" s="12" t="n">
        <v>5855762.95</v>
      </c>
      <c r="C560" s="14" t="n">
        <v>0</v>
      </c>
    </row>
    <row r="561" customFormat="false" ht="15" hidden="false" customHeight="false" outlineLevel="0" collapsed="false">
      <c r="A561" s="30" t="n">
        <v>46156</v>
      </c>
      <c r="B561" s="12" t="n">
        <v>6429104.51</v>
      </c>
      <c r="C561" s="14" t="n">
        <v>0</v>
      </c>
    </row>
    <row r="562" customFormat="false" ht="15" hidden="false" customHeight="false" outlineLevel="0" collapsed="false">
      <c r="A562" s="30" t="n">
        <v>46157</v>
      </c>
      <c r="B562" s="12" t="n">
        <v>6429104.51</v>
      </c>
      <c r="C562" s="14" t="n">
        <v>0</v>
      </c>
    </row>
    <row r="563" customFormat="false" ht="15" hidden="false" customHeight="false" outlineLevel="0" collapsed="false">
      <c r="A563" s="30" t="n">
        <v>46158</v>
      </c>
      <c r="B563" s="12" t="n">
        <v>6429104.51</v>
      </c>
      <c r="C563" s="14" t="n">
        <v>0</v>
      </c>
    </row>
    <row r="564" customFormat="false" ht="15" hidden="false" customHeight="false" outlineLevel="0" collapsed="false">
      <c r="A564" s="30" t="n">
        <v>46159</v>
      </c>
      <c r="B564" s="12" t="n">
        <v>6429104.51</v>
      </c>
      <c r="C564" s="14" t="n">
        <v>0</v>
      </c>
    </row>
    <row r="565" customFormat="false" ht="15" hidden="false" customHeight="false" outlineLevel="0" collapsed="false">
      <c r="A565" s="30" t="n">
        <v>46160</v>
      </c>
      <c r="B565" s="12" t="n">
        <v>6429104.51</v>
      </c>
      <c r="C565" s="14" t="n">
        <v>0</v>
      </c>
    </row>
    <row r="566" customFormat="false" ht="15" hidden="false" customHeight="false" outlineLevel="0" collapsed="false">
      <c r="A566" s="30" t="n">
        <v>46161</v>
      </c>
      <c r="B566" s="12" t="n">
        <v>6429104.51</v>
      </c>
      <c r="C566" s="14" t="n">
        <v>0</v>
      </c>
    </row>
    <row r="567" customFormat="false" ht="15" hidden="false" customHeight="false" outlineLevel="0" collapsed="false">
      <c r="A567" s="30" t="n">
        <v>46162</v>
      </c>
      <c r="B567" s="12" t="n">
        <v>6277469.51</v>
      </c>
      <c r="C567" s="14" t="n">
        <v>0</v>
      </c>
    </row>
    <row r="568" customFormat="false" ht="15" hidden="false" customHeight="false" outlineLevel="0" collapsed="false">
      <c r="A568" s="30" t="n">
        <v>46163</v>
      </c>
      <c r="B568" s="12" t="n">
        <v>6277469.51</v>
      </c>
      <c r="C568" s="14" t="n">
        <v>0</v>
      </c>
    </row>
    <row r="569" customFormat="false" ht="15" hidden="false" customHeight="false" outlineLevel="0" collapsed="false">
      <c r="A569" s="30" t="n">
        <v>46164</v>
      </c>
      <c r="B569" s="12" t="n">
        <v>7043637.46</v>
      </c>
      <c r="C569" s="14" t="n">
        <v>0</v>
      </c>
    </row>
    <row r="570" customFormat="false" ht="15" hidden="false" customHeight="false" outlineLevel="0" collapsed="false">
      <c r="A570" s="30" t="n">
        <v>46165</v>
      </c>
      <c r="B570" s="12" t="n">
        <v>7043637.46</v>
      </c>
      <c r="C570" s="14" t="n">
        <v>0</v>
      </c>
    </row>
    <row r="571" customFormat="false" ht="15" hidden="false" customHeight="false" outlineLevel="0" collapsed="false">
      <c r="A571" s="30" t="n">
        <v>46166</v>
      </c>
      <c r="B571" s="12" t="n">
        <v>7043637.46</v>
      </c>
      <c r="C571" s="14" t="n">
        <v>0</v>
      </c>
    </row>
    <row r="572" customFormat="false" ht="15" hidden="false" customHeight="false" outlineLevel="0" collapsed="false">
      <c r="A572" s="30" t="n">
        <v>46167</v>
      </c>
      <c r="B572" s="12" t="n">
        <v>7043637.46</v>
      </c>
      <c r="C572" s="14" t="n">
        <v>0</v>
      </c>
    </row>
    <row r="573" customFormat="false" ht="15" hidden="false" customHeight="false" outlineLevel="0" collapsed="false">
      <c r="A573" s="30" t="n">
        <v>46168</v>
      </c>
      <c r="B573" s="12" t="n">
        <v>7043637.46</v>
      </c>
      <c r="C573" s="14" t="n">
        <v>0</v>
      </c>
    </row>
    <row r="574" customFormat="false" ht="15" hidden="false" customHeight="false" outlineLevel="0" collapsed="false">
      <c r="A574" s="30" t="n">
        <v>46169</v>
      </c>
      <c r="B574" s="12" t="n">
        <v>7043637.46</v>
      </c>
      <c r="C574" s="14" t="n">
        <v>0</v>
      </c>
    </row>
    <row r="575" customFormat="false" ht="15" hidden="false" customHeight="false" outlineLevel="0" collapsed="false">
      <c r="A575" s="30" t="n">
        <v>46170</v>
      </c>
      <c r="B575" s="12" t="n">
        <v>7043637.46</v>
      </c>
      <c r="C575" s="14" t="n">
        <v>0</v>
      </c>
    </row>
    <row r="576" customFormat="false" ht="15" hidden="false" customHeight="false" outlineLevel="0" collapsed="false">
      <c r="A576" s="30" t="n">
        <v>46171</v>
      </c>
      <c r="B576" s="12" t="n">
        <v>7043637.46</v>
      </c>
      <c r="C576" s="14" t="n">
        <v>0</v>
      </c>
    </row>
    <row r="577" customFormat="false" ht="15" hidden="false" customHeight="false" outlineLevel="0" collapsed="false">
      <c r="A577" s="30" t="n">
        <v>46172</v>
      </c>
      <c r="B577" s="12" t="n">
        <v>7043637.46</v>
      </c>
      <c r="C577" s="14" t="n">
        <v>0</v>
      </c>
    </row>
    <row r="578" customFormat="false" ht="15" hidden="false" customHeight="false" outlineLevel="0" collapsed="false">
      <c r="A578" s="30" t="n">
        <v>46173</v>
      </c>
      <c r="B578" s="12" t="n">
        <v>7043637.46</v>
      </c>
      <c r="C578" s="14" t="n">
        <v>0</v>
      </c>
    </row>
    <row r="579" customFormat="false" ht="15" hidden="false" customHeight="false" outlineLevel="0" collapsed="false">
      <c r="A579" s="30" t="n">
        <v>46174</v>
      </c>
      <c r="B579" s="12" t="n">
        <v>3501460.46</v>
      </c>
      <c r="C579" s="14" t="n">
        <v>0</v>
      </c>
    </row>
    <row r="580" customFormat="false" ht="15" hidden="false" customHeight="false" outlineLevel="0" collapsed="false">
      <c r="A580" s="30" t="n">
        <v>46175</v>
      </c>
      <c r="B580" s="12" t="n">
        <v>3501460.46</v>
      </c>
      <c r="C580" s="14" t="n">
        <v>0</v>
      </c>
    </row>
    <row r="581" customFormat="false" ht="15" hidden="false" customHeight="false" outlineLevel="0" collapsed="false">
      <c r="A581" s="30" t="n">
        <v>46176</v>
      </c>
      <c r="B581" s="12" t="n">
        <v>3016322.42</v>
      </c>
      <c r="C581" s="14" t="n">
        <v>0</v>
      </c>
    </row>
    <row r="582" customFormat="false" ht="15" hidden="false" customHeight="false" outlineLevel="0" collapsed="false">
      <c r="A582" s="30" t="n">
        <v>46177</v>
      </c>
      <c r="B582" s="12" t="n">
        <v>3016322.42</v>
      </c>
      <c r="C582" s="14" t="n">
        <v>0</v>
      </c>
    </row>
    <row r="583" customFormat="false" ht="15" hidden="false" customHeight="false" outlineLevel="0" collapsed="false">
      <c r="A583" s="30" t="n">
        <v>46178</v>
      </c>
      <c r="B583" s="12" t="n">
        <v>2680322.42</v>
      </c>
      <c r="C583" s="14" t="n">
        <v>0</v>
      </c>
    </row>
    <row r="584" customFormat="false" ht="15" hidden="false" customHeight="false" outlineLevel="0" collapsed="false">
      <c r="A584" s="30" t="n">
        <v>46179</v>
      </c>
      <c r="B584" s="12" t="n">
        <v>2680322.42</v>
      </c>
      <c r="C584" s="14" t="n">
        <v>0</v>
      </c>
    </row>
    <row r="585" customFormat="false" ht="15" hidden="false" customHeight="false" outlineLevel="0" collapsed="false">
      <c r="A585" s="30" t="n">
        <v>46180</v>
      </c>
      <c r="B585" s="12" t="n">
        <v>2680322.42</v>
      </c>
      <c r="C585" s="14" t="n">
        <v>0</v>
      </c>
    </row>
    <row r="586" customFormat="false" ht="15" hidden="false" customHeight="false" outlineLevel="0" collapsed="false">
      <c r="A586" s="30" t="n">
        <v>46181</v>
      </c>
      <c r="B586" s="12" t="n">
        <v>3872051.49</v>
      </c>
      <c r="C586" s="14" t="n">
        <v>0</v>
      </c>
    </row>
    <row r="587" customFormat="false" ht="15" hidden="false" customHeight="false" outlineLevel="0" collapsed="false">
      <c r="A587" s="30" t="n">
        <v>46182</v>
      </c>
      <c r="B587" s="12" t="n">
        <v>3872051.49</v>
      </c>
      <c r="C587" s="14" t="n">
        <v>0</v>
      </c>
    </row>
    <row r="588" customFormat="false" ht="15" hidden="false" customHeight="false" outlineLevel="0" collapsed="false">
      <c r="A588" s="30" t="n">
        <v>46183</v>
      </c>
      <c r="B588" s="12" t="n">
        <v>4465300.89</v>
      </c>
      <c r="C588" s="14" t="n">
        <v>0</v>
      </c>
    </row>
    <row r="589" customFormat="false" ht="15" hidden="false" customHeight="false" outlineLevel="0" collapsed="false">
      <c r="A589" s="30" t="n">
        <v>46184</v>
      </c>
      <c r="B589" s="12" t="n">
        <v>4870818.05</v>
      </c>
      <c r="C589" s="14" t="n">
        <v>0</v>
      </c>
    </row>
    <row r="590" customFormat="false" ht="15" hidden="false" customHeight="false" outlineLevel="0" collapsed="false">
      <c r="A590" s="30" t="n">
        <v>46185</v>
      </c>
      <c r="B590" s="12" t="n">
        <v>5441903.9</v>
      </c>
      <c r="C590" s="14" t="n">
        <v>0</v>
      </c>
    </row>
    <row r="591" customFormat="false" ht="15" hidden="false" customHeight="false" outlineLevel="0" collapsed="false">
      <c r="A591" s="30" t="n">
        <v>46186</v>
      </c>
      <c r="B591" s="12" t="n">
        <v>5441903.9</v>
      </c>
      <c r="C591" s="14" t="n">
        <v>0</v>
      </c>
    </row>
    <row r="592" customFormat="false" ht="15" hidden="false" customHeight="false" outlineLevel="0" collapsed="false">
      <c r="A592" s="30" t="n">
        <v>46187</v>
      </c>
      <c r="B592" s="12" t="n">
        <v>5441903.9</v>
      </c>
      <c r="C592" s="14" t="n">
        <v>0</v>
      </c>
    </row>
    <row r="593" customFormat="false" ht="15" hidden="false" customHeight="false" outlineLevel="0" collapsed="false">
      <c r="A593" s="30" t="n">
        <v>46188</v>
      </c>
      <c r="B593" s="12" t="n">
        <v>6258459.05</v>
      </c>
      <c r="C593" s="14" t="n">
        <v>0</v>
      </c>
    </row>
    <row r="594" customFormat="false" ht="15" hidden="false" customHeight="false" outlineLevel="0" collapsed="false">
      <c r="A594" s="30" t="n">
        <v>46189</v>
      </c>
      <c r="B594" s="12" t="n">
        <v>6258459.05</v>
      </c>
      <c r="C594" s="14" t="n">
        <v>0</v>
      </c>
    </row>
    <row r="595" customFormat="false" ht="15" hidden="false" customHeight="false" outlineLevel="0" collapsed="false">
      <c r="A595" s="30" t="n">
        <v>46190</v>
      </c>
      <c r="B595" s="12" t="n">
        <v>6258459.05</v>
      </c>
      <c r="C595" s="14" t="n">
        <v>0</v>
      </c>
    </row>
    <row r="596" customFormat="false" ht="15" hidden="false" customHeight="false" outlineLevel="0" collapsed="false">
      <c r="A596" s="30" t="n">
        <v>46191</v>
      </c>
      <c r="B596" s="12" t="n">
        <v>6258459.05</v>
      </c>
      <c r="C596" s="14" t="n">
        <v>0</v>
      </c>
    </row>
    <row r="597" customFormat="false" ht="15" hidden="false" customHeight="false" outlineLevel="0" collapsed="false">
      <c r="A597" s="30" t="n">
        <v>46192</v>
      </c>
      <c r="B597" s="12" t="n">
        <v>6258459.05</v>
      </c>
      <c r="C597" s="14" t="n">
        <v>0</v>
      </c>
    </row>
    <row r="598" customFormat="false" ht="15" hidden="false" customHeight="false" outlineLevel="0" collapsed="false">
      <c r="A598" s="30" t="n">
        <v>46193</v>
      </c>
      <c r="B598" s="12" t="n">
        <v>6258459.05</v>
      </c>
      <c r="C598" s="14" t="n">
        <v>0</v>
      </c>
    </row>
    <row r="599" customFormat="false" ht="15" hidden="false" customHeight="false" outlineLevel="0" collapsed="false">
      <c r="A599" s="30" t="n">
        <v>46194</v>
      </c>
      <c r="B599" s="12" t="n">
        <v>6258459.05</v>
      </c>
      <c r="C599" s="14" t="n">
        <v>0</v>
      </c>
    </row>
    <row r="600" customFormat="false" ht="15" hidden="false" customHeight="false" outlineLevel="0" collapsed="false">
      <c r="A600" s="30" t="n">
        <v>46195</v>
      </c>
      <c r="B600" s="12" t="n">
        <v>6801501.25</v>
      </c>
      <c r="C600" s="14" t="n">
        <v>0</v>
      </c>
    </row>
    <row r="601" customFormat="false" ht="15" hidden="false" customHeight="false" outlineLevel="0" collapsed="false">
      <c r="A601" s="30" t="n">
        <v>46196</v>
      </c>
      <c r="B601" s="12" t="n">
        <v>6801501.25</v>
      </c>
      <c r="C601" s="14" t="n">
        <v>0</v>
      </c>
    </row>
    <row r="602" customFormat="false" ht="15" hidden="false" customHeight="false" outlineLevel="0" collapsed="false">
      <c r="A602" s="30" t="n">
        <v>46197</v>
      </c>
      <c r="B602" s="12" t="n">
        <v>6801501.25</v>
      </c>
      <c r="C602" s="14" t="n">
        <v>0</v>
      </c>
    </row>
    <row r="603" customFormat="false" ht="15" hidden="false" customHeight="false" outlineLevel="0" collapsed="false">
      <c r="A603" s="30" t="n">
        <v>46198</v>
      </c>
      <c r="B603" s="12" t="n">
        <v>6801501.25</v>
      </c>
      <c r="C603" s="14" t="n">
        <v>0</v>
      </c>
    </row>
    <row r="604" customFormat="false" ht="15" hidden="false" customHeight="false" outlineLevel="0" collapsed="false">
      <c r="A604" s="30" t="n">
        <v>46199</v>
      </c>
      <c r="B604" s="12" t="n">
        <v>6801501.25</v>
      </c>
      <c r="C604" s="14" t="n">
        <v>0</v>
      </c>
    </row>
    <row r="605" customFormat="false" ht="15" hidden="false" customHeight="false" outlineLevel="0" collapsed="false">
      <c r="A605" s="30" t="n">
        <v>46200</v>
      </c>
      <c r="B605" s="12" t="n">
        <v>6801501.25</v>
      </c>
      <c r="C605" s="14" t="n">
        <v>0</v>
      </c>
    </row>
    <row r="606" customFormat="false" ht="15" hidden="false" customHeight="false" outlineLevel="0" collapsed="false">
      <c r="A606" s="30" t="n">
        <v>46201</v>
      </c>
      <c r="B606" s="12" t="n">
        <v>6801501.25</v>
      </c>
      <c r="C606" s="14" t="n">
        <v>0</v>
      </c>
    </row>
    <row r="607" customFormat="false" ht="15" hidden="false" customHeight="false" outlineLevel="0" collapsed="false">
      <c r="A607" s="30" t="n">
        <v>46202</v>
      </c>
      <c r="B607" s="12" t="n">
        <v>6801501.25</v>
      </c>
      <c r="C607" s="14" t="n">
        <v>0</v>
      </c>
    </row>
    <row r="608" customFormat="false" ht="15" hidden="false" customHeight="false" outlineLevel="0" collapsed="false">
      <c r="A608" s="30" t="n">
        <v>46203</v>
      </c>
      <c r="B608" s="12" t="n">
        <v>6801501.25</v>
      </c>
      <c r="C608" s="14" t="n">
        <v>0</v>
      </c>
    </row>
    <row r="609" customFormat="false" ht="15" hidden="false" customHeight="false" outlineLevel="0" collapsed="false">
      <c r="A609" s="30" t="n">
        <v>46204</v>
      </c>
      <c r="B609" s="12" t="n">
        <v>3263741.25</v>
      </c>
      <c r="C609" s="14" t="n">
        <v>0</v>
      </c>
    </row>
    <row r="610" customFormat="false" ht="15" hidden="false" customHeight="false" outlineLevel="0" collapsed="false">
      <c r="A610" s="30" t="n">
        <v>46205</v>
      </c>
      <c r="B610" s="12" t="n">
        <v>3263741.25</v>
      </c>
      <c r="C610" s="14" t="n">
        <v>0</v>
      </c>
    </row>
    <row r="611" customFormat="false" ht="15" hidden="false" customHeight="false" outlineLevel="0" collapsed="false">
      <c r="A611" s="30" t="n">
        <v>46206</v>
      </c>
      <c r="B611" s="12" t="n">
        <v>2751204.7</v>
      </c>
      <c r="C611" s="14" t="n">
        <v>0</v>
      </c>
    </row>
    <row r="612" customFormat="false" ht="15" hidden="false" customHeight="false" outlineLevel="0" collapsed="false">
      <c r="A612" s="30" t="n">
        <v>46207</v>
      </c>
      <c r="B612" s="12" t="n">
        <v>2751204.7</v>
      </c>
      <c r="C612" s="14" t="n">
        <v>0</v>
      </c>
    </row>
    <row r="613" customFormat="false" ht="15" hidden="false" customHeight="false" outlineLevel="0" collapsed="false">
      <c r="A613" s="30" t="n">
        <v>46208</v>
      </c>
      <c r="B613" s="12" t="n">
        <v>2751204.7</v>
      </c>
      <c r="C613" s="14" t="n">
        <v>0</v>
      </c>
    </row>
    <row r="614" customFormat="false" ht="15" hidden="false" customHeight="false" outlineLevel="0" collapsed="false">
      <c r="A614" s="30" t="n">
        <v>46209</v>
      </c>
      <c r="B614" s="12" t="n">
        <v>2819292.12</v>
      </c>
      <c r="C614" s="14" t="n">
        <v>0</v>
      </c>
    </row>
    <row r="615" customFormat="false" ht="15" hidden="false" customHeight="false" outlineLevel="0" collapsed="false">
      <c r="A615" s="30" t="n">
        <v>46210</v>
      </c>
      <c r="B615" s="12" t="n">
        <v>2703290.23</v>
      </c>
      <c r="C615" s="14" t="n">
        <v>0</v>
      </c>
    </row>
    <row r="616" customFormat="false" ht="15" hidden="false" customHeight="false" outlineLevel="0" collapsed="false">
      <c r="A616" s="30" t="n">
        <v>46211</v>
      </c>
      <c r="B616" s="12" t="n">
        <v>3852156.04</v>
      </c>
      <c r="C616" s="14" t="n">
        <v>0</v>
      </c>
    </row>
    <row r="617" customFormat="false" ht="15" hidden="false" customHeight="false" outlineLevel="0" collapsed="false">
      <c r="A617" s="30" t="n">
        <v>46212</v>
      </c>
      <c r="B617" s="12" t="n">
        <v>4533092.93</v>
      </c>
      <c r="C617" s="14" t="n">
        <v>0</v>
      </c>
    </row>
    <row r="618" customFormat="false" ht="15" hidden="false" customHeight="false" outlineLevel="0" collapsed="false">
      <c r="A618" s="30" t="n">
        <v>46213</v>
      </c>
      <c r="B618" s="12" t="n">
        <v>3735784.37</v>
      </c>
      <c r="C618" s="14" t="n">
        <v>0</v>
      </c>
    </row>
    <row r="619" customFormat="false" ht="15" hidden="false" customHeight="false" outlineLevel="0" collapsed="false">
      <c r="A619" s="30" t="n">
        <v>46214</v>
      </c>
      <c r="B619" s="12" t="n">
        <v>3735784.37</v>
      </c>
      <c r="C619" s="14" t="n">
        <v>0</v>
      </c>
    </row>
    <row r="620" customFormat="false" ht="15" hidden="false" customHeight="false" outlineLevel="0" collapsed="false">
      <c r="A620" s="30" t="n">
        <v>46215</v>
      </c>
      <c r="B620" s="12" t="n">
        <v>3735784.37</v>
      </c>
      <c r="C620" s="14" t="n">
        <v>0</v>
      </c>
    </row>
    <row r="621" customFormat="false" ht="15" hidden="false" customHeight="false" outlineLevel="0" collapsed="false">
      <c r="A621" s="30" t="n">
        <v>46216</v>
      </c>
      <c r="B621" s="12" t="n">
        <v>9514739.43</v>
      </c>
      <c r="C621" s="14" t="n">
        <v>0</v>
      </c>
    </row>
    <row r="622" customFormat="false" ht="15" hidden="false" customHeight="false" outlineLevel="0" collapsed="false">
      <c r="A622" s="30" t="n">
        <v>46217</v>
      </c>
      <c r="B622" s="12" t="n">
        <v>9799498.91</v>
      </c>
      <c r="C622" s="14" t="n">
        <v>0</v>
      </c>
    </row>
    <row r="623" customFormat="false" ht="15" hidden="false" customHeight="false" outlineLevel="0" collapsed="false">
      <c r="A623" s="30" t="n">
        <v>46218</v>
      </c>
      <c r="B623" s="12" t="n">
        <v>9799498.91</v>
      </c>
      <c r="C623" s="14" t="n">
        <v>0</v>
      </c>
    </row>
    <row r="624" customFormat="false" ht="15" hidden="false" customHeight="false" outlineLevel="0" collapsed="false">
      <c r="A624" s="30" t="n">
        <v>46219</v>
      </c>
      <c r="B624" s="12" t="n">
        <v>9799498.91</v>
      </c>
      <c r="C624" s="14" t="n">
        <v>0</v>
      </c>
    </row>
    <row r="625" customFormat="false" ht="15" hidden="false" customHeight="false" outlineLevel="0" collapsed="false">
      <c r="A625" s="30" t="n">
        <v>46220</v>
      </c>
      <c r="B625" s="12" t="n">
        <v>9799498.91</v>
      </c>
      <c r="C625" s="14" t="n">
        <v>0</v>
      </c>
    </row>
    <row r="626" customFormat="false" ht="15" hidden="false" customHeight="false" outlineLevel="0" collapsed="false">
      <c r="A626" s="30" t="n">
        <v>46221</v>
      </c>
      <c r="B626" s="12" t="n">
        <v>9799498.91</v>
      </c>
      <c r="C626" s="14" t="n">
        <v>0</v>
      </c>
    </row>
    <row r="627" customFormat="false" ht="15" hidden="false" customHeight="false" outlineLevel="0" collapsed="false">
      <c r="A627" s="30" t="n">
        <v>46222</v>
      </c>
      <c r="B627" s="12" t="n">
        <v>9799498.91</v>
      </c>
      <c r="C627" s="14" t="n">
        <v>0</v>
      </c>
    </row>
    <row r="628" customFormat="false" ht="15" hidden="false" customHeight="false" outlineLevel="0" collapsed="false">
      <c r="A628" s="30" t="n">
        <v>46223</v>
      </c>
      <c r="B628" s="12" t="n">
        <v>9573467.91</v>
      </c>
      <c r="C628" s="14" t="n">
        <v>0</v>
      </c>
    </row>
    <row r="629" customFormat="false" ht="15" hidden="false" customHeight="false" outlineLevel="0" collapsed="false">
      <c r="A629" s="30" t="n">
        <v>46224</v>
      </c>
      <c r="B629" s="12" t="n">
        <v>9573467.91</v>
      </c>
      <c r="C629" s="14" t="n">
        <v>0</v>
      </c>
    </row>
    <row r="630" customFormat="false" ht="15" hidden="false" customHeight="false" outlineLevel="0" collapsed="false">
      <c r="A630" s="30" t="n">
        <v>46225</v>
      </c>
      <c r="B630" s="12" t="n">
        <v>9573467.91</v>
      </c>
      <c r="C630" s="14" t="n">
        <v>0</v>
      </c>
    </row>
    <row r="631" customFormat="false" ht="15" hidden="false" customHeight="false" outlineLevel="0" collapsed="false">
      <c r="A631" s="30" t="n">
        <v>46226</v>
      </c>
      <c r="B631" s="12" t="n">
        <v>9573467.91</v>
      </c>
      <c r="C631" s="14" t="n">
        <v>0</v>
      </c>
    </row>
    <row r="632" customFormat="false" ht="15" hidden="false" customHeight="false" outlineLevel="0" collapsed="false">
      <c r="A632" s="30" t="n">
        <v>46227</v>
      </c>
      <c r="B632" s="12" t="n">
        <v>9573467.91</v>
      </c>
      <c r="C632" s="14" t="n">
        <v>0</v>
      </c>
    </row>
    <row r="633" customFormat="false" ht="15" hidden="false" customHeight="false" outlineLevel="0" collapsed="false">
      <c r="A633" s="30" t="n">
        <v>46228</v>
      </c>
      <c r="B633" s="12" t="n">
        <v>6573467.91</v>
      </c>
      <c r="C633" s="14" t="n">
        <v>0</v>
      </c>
    </row>
    <row r="634" customFormat="false" ht="15" hidden="false" customHeight="false" outlineLevel="0" collapsed="false">
      <c r="A634" s="30" t="n">
        <v>46229</v>
      </c>
      <c r="B634" s="12" t="n">
        <v>6573467.91</v>
      </c>
      <c r="C634" s="14" t="n">
        <v>0</v>
      </c>
    </row>
    <row r="635" customFormat="false" ht="15" hidden="false" customHeight="false" outlineLevel="0" collapsed="false">
      <c r="A635" s="30" t="n">
        <v>46230</v>
      </c>
      <c r="B635" s="12" t="n">
        <v>6573467.91</v>
      </c>
      <c r="C635" s="14" t="n">
        <v>0</v>
      </c>
    </row>
    <row r="636" customFormat="false" ht="15" hidden="false" customHeight="false" outlineLevel="0" collapsed="false">
      <c r="A636" s="30" t="n">
        <v>46231</v>
      </c>
      <c r="B636" s="12" t="n">
        <v>6573467.91</v>
      </c>
      <c r="C636" s="14" t="n">
        <v>0</v>
      </c>
    </row>
    <row r="637" customFormat="false" ht="15" hidden="false" customHeight="false" outlineLevel="0" collapsed="false">
      <c r="A637" s="30" t="n">
        <v>46232</v>
      </c>
      <c r="B637" s="12" t="n">
        <v>6573467.91</v>
      </c>
      <c r="C637" s="14" t="n">
        <v>0</v>
      </c>
    </row>
    <row r="638" customFormat="false" ht="15" hidden="false" customHeight="false" outlineLevel="0" collapsed="false">
      <c r="A638" s="30" t="n">
        <v>46233</v>
      </c>
      <c r="B638" s="12" t="n">
        <v>6573467.91</v>
      </c>
      <c r="C638" s="14" t="n">
        <v>0</v>
      </c>
    </row>
    <row r="639" customFormat="false" ht="15" hidden="false" customHeight="false" outlineLevel="0" collapsed="false">
      <c r="A639" s="30" t="n">
        <v>46234</v>
      </c>
      <c r="B639" s="12" t="n">
        <v>6573467.91</v>
      </c>
      <c r="C639" s="14" t="n">
        <v>0</v>
      </c>
    </row>
    <row r="640" customFormat="false" ht="15" hidden="false" customHeight="false" outlineLevel="0" collapsed="false">
      <c r="A640" s="30" t="n">
        <v>46235</v>
      </c>
      <c r="B640" s="12" t="n">
        <v>6573467.91</v>
      </c>
      <c r="C640" s="14" t="n">
        <v>0</v>
      </c>
    </row>
    <row r="641" customFormat="false" ht="15" hidden="false" customHeight="false" outlineLevel="0" collapsed="false">
      <c r="A641" s="30" t="n">
        <v>46236</v>
      </c>
      <c r="B641" s="12" t="n">
        <v>6573467.91</v>
      </c>
      <c r="C641" s="14" t="n">
        <v>0</v>
      </c>
    </row>
    <row r="642" customFormat="false" ht="15" hidden="false" customHeight="false" outlineLevel="0" collapsed="false">
      <c r="A642" s="30" t="n">
        <v>46237</v>
      </c>
      <c r="B642" s="12" t="n">
        <v>2325273.02</v>
      </c>
      <c r="C642" s="14" t="n">
        <v>0</v>
      </c>
    </row>
    <row r="643" customFormat="false" ht="15" hidden="false" customHeight="false" outlineLevel="0" collapsed="false">
      <c r="A643" s="30" t="n">
        <v>46238</v>
      </c>
      <c r="B643" s="12" t="n">
        <v>2325273.02</v>
      </c>
      <c r="C643" s="14" t="n">
        <v>0</v>
      </c>
    </row>
    <row r="644" customFormat="false" ht="15" hidden="false" customHeight="false" outlineLevel="0" collapsed="false">
      <c r="A644" s="30" t="n">
        <v>46239</v>
      </c>
      <c r="B644" s="12" t="n">
        <v>1989273.02</v>
      </c>
      <c r="C644" s="14" t="n">
        <v>0</v>
      </c>
    </row>
    <row r="645" customFormat="false" ht="15" hidden="false" customHeight="false" outlineLevel="0" collapsed="false">
      <c r="A645" s="30" t="n">
        <v>46240</v>
      </c>
      <c r="B645" s="12" t="n">
        <v>1989273.02</v>
      </c>
      <c r="C645" s="14" t="n">
        <v>0</v>
      </c>
    </row>
    <row r="646" customFormat="false" ht="15" hidden="false" customHeight="false" outlineLevel="0" collapsed="false">
      <c r="A646" s="30" t="n">
        <v>46241</v>
      </c>
      <c r="B646" s="12" t="n">
        <v>1872332.27</v>
      </c>
      <c r="C646" s="14" t="n">
        <v>0</v>
      </c>
    </row>
    <row r="647" customFormat="false" ht="15" hidden="false" customHeight="false" outlineLevel="0" collapsed="false">
      <c r="A647" s="30" t="n">
        <v>46242</v>
      </c>
      <c r="B647" s="12" t="n">
        <v>1872332.27</v>
      </c>
      <c r="C647" s="14" t="n">
        <v>0</v>
      </c>
    </row>
    <row r="648" customFormat="false" ht="15" hidden="false" customHeight="false" outlineLevel="0" collapsed="false">
      <c r="A648" s="30" t="n">
        <v>46243</v>
      </c>
      <c r="B648" s="12" t="n">
        <v>1872332.27</v>
      </c>
      <c r="C648" s="14" t="n">
        <v>0</v>
      </c>
    </row>
    <row r="649" customFormat="false" ht="15" hidden="false" customHeight="false" outlineLevel="0" collapsed="false">
      <c r="A649" s="30" t="n">
        <v>46244</v>
      </c>
      <c r="B649" s="12" t="n">
        <v>3416543.32</v>
      </c>
      <c r="C649" s="14" t="n">
        <v>0</v>
      </c>
    </row>
    <row r="650" customFormat="false" ht="15" hidden="false" customHeight="false" outlineLevel="0" collapsed="false">
      <c r="A650" s="30" t="n">
        <v>46245</v>
      </c>
      <c r="B650" s="12" t="n">
        <v>4828956.12</v>
      </c>
      <c r="C650" s="14" t="n">
        <v>0</v>
      </c>
    </row>
    <row r="651" customFormat="false" ht="15" hidden="false" customHeight="false" outlineLevel="0" collapsed="false">
      <c r="A651" s="30" t="n">
        <v>46246</v>
      </c>
      <c r="B651" s="12" t="n">
        <v>4828956.12</v>
      </c>
      <c r="C651" s="14" t="n">
        <v>0</v>
      </c>
    </row>
    <row r="652" customFormat="false" ht="15" hidden="false" customHeight="false" outlineLevel="0" collapsed="false">
      <c r="A652" s="30" t="n">
        <v>46247</v>
      </c>
      <c r="B652" s="12" t="n">
        <v>5130485.55</v>
      </c>
      <c r="C652" s="14" t="n">
        <v>0</v>
      </c>
    </row>
    <row r="653" customFormat="false" ht="15" hidden="false" customHeight="false" outlineLevel="0" collapsed="false">
      <c r="A653" s="30" t="n">
        <v>46248</v>
      </c>
      <c r="B653" s="12" t="n">
        <v>5539869.22</v>
      </c>
      <c r="C653" s="14" t="n">
        <v>0</v>
      </c>
    </row>
    <row r="654" customFormat="false" ht="15" hidden="false" customHeight="false" outlineLevel="0" collapsed="false">
      <c r="A654" s="30" t="n">
        <v>46249</v>
      </c>
      <c r="B654" s="12" t="n">
        <v>5539869.22</v>
      </c>
      <c r="C654" s="14" t="n">
        <v>0</v>
      </c>
    </row>
    <row r="655" customFormat="false" ht="15" hidden="false" customHeight="false" outlineLevel="0" collapsed="false">
      <c r="A655" s="30" t="n">
        <v>46250</v>
      </c>
      <c r="B655" s="12" t="n">
        <v>5539869.22</v>
      </c>
      <c r="C655" s="14" t="n">
        <v>0</v>
      </c>
    </row>
    <row r="656" customFormat="false" ht="15" hidden="false" customHeight="false" outlineLevel="0" collapsed="false">
      <c r="A656" s="30" t="n">
        <v>46251</v>
      </c>
      <c r="B656" s="12" t="n">
        <v>5883110.71</v>
      </c>
      <c r="C656" s="14" t="n">
        <v>0</v>
      </c>
    </row>
    <row r="657" customFormat="false" ht="15" hidden="false" customHeight="false" outlineLevel="0" collapsed="false">
      <c r="A657" s="30" t="n">
        <v>46252</v>
      </c>
      <c r="B657" s="12" t="n">
        <v>5883110.71</v>
      </c>
      <c r="C657" s="14" t="n">
        <v>0</v>
      </c>
    </row>
    <row r="658" customFormat="false" ht="15" hidden="false" customHeight="false" outlineLevel="0" collapsed="false">
      <c r="A658" s="30" t="n">
        <v>46253</v>
      </c>
      <c r="B658" s="12" t="n">
        <v>5883110.71</v>
      </c>
      <c r="C658" s="14" t="n">
        <v>0</v>
      </c>
    </row>
    <row r="659" customFormat="false" ht="15" hidden="false" customHeight="false" outlineLevel="0" collapsed="false">
      <c r="A659" s="30" t="n">
        <v>46254</v>
      </c>
      <c r="B659" s="12" t="n">
        <v>5698472.71</v>
      </c>
      <c r="C659" s="14" t="n">
        <v>0</v>
      </c>
    </row>
    <row r="660" customFormat="false" ht="15" hidden="false" customHeight="false" outlineLevel="0" collapsed="false">
      <c r="A660" s="30" t="n">
        <v>46255</v>
      </c>
      <c r="B660" s="12" t="n">
        <v>7209944.44</v>
      </c>
      <c r="C660" s="14" t="n">
        <v>0</v>
      </c>
    </row>
    <row r="661" customFormat="false" ht="15" hidden="false" customHeight="false" outlineLevel="0" collapsed="false">
      <c r="A661" s="30" t="n">
        <v>46256</v>
      </c>
      <c r="B661" s="12" t="n">
        <v>7209944.44</v>
      </c>
      <c r="C661" s="14" t="n">
        <v>0</v>
      </c>
    </row>
    <row r="662" customFormat="false" ht="15" hidden="false" customHeight="false" outlineLevel="0" collapsed="false">
      <c r="A662" s="30" t="n">
        <v>46257</v>
      </c>
      <c r="B662" s="12" t="n">
        <v>7209944.44</v>
      </c>
      <c r="C662" s="14" t="n">
        <v>0</v>
      </c>
    </row>
    <row r="663" customFormat="false" ht="15" hidden="false" customHeight="false" outlineLevel="0" collapsed="false">
      <c r="A663" s="30" t="n">
        <v>46258</v>
      </c>
      <c r="B663" s="12" t="n">
        <v>7209944.44</v>
      </c>
      <c r="C663" s="14" t="n">
        <v>0</v>
      </c>
    </row>
    <row r="664" customFormat="false" ht="15" hidden="false" customHeight="false" outlineLevel="0" collapsed="false">
      <c r="A664" s="30" t="n">
        <v>46259</v>
      </c>
      <c r="B664" s="12" t="n">
        <v>7209944.44</v>
      </c>
      <c r="C664" s="14" t="n">
        <v>0</v>
      </c>
    </row>
    <row r="665" customFormat="false" ht="15" hidden="false" customHeight="false" outlineLevel="0" collapsed="false">
      <c r="A665" s="30" t="n">
        <v>46260</v>
      </c>
      <c r="B665" s="12" t="n">
        <v>7209944.44</v>
      </c>
      <c r="C665" s="14" t="n">
        <v>0</v>
      </c>
    </row>
    <row r="666" customFormat="false" ht="15" hidden="false" customHeight="false" outlineLevel="0" collapsed="false">
      <c r="A666" s="30" t="n">
        <v>46261</v>
      </c>
      <c r="B666" s="12" t="n">
        <v>7209944.44</v>
      </c>
      <c r="C666" s="14" t="n">
        <v>0</v>
      </c>
    </row>
    <row r="667" customFormat="false" ht="15" hidden="false" customHeight="false" outlineLevel="0" collapsed="false">
      <c r="A667" s="30" t="n">
        <v>46262</v>
      </c>
      <c r="B667" s="12" t="n">
        <v>7969687.35</v>
      </c>
      <c r="C667" s="14" t="n">
        <v>0</v>
      </c>
    </row>
    <row r="668" customFormat="false" ht="15" hidden="false" customHeight="false" outlineLevel="0" collapsed="false">
      <c r="A668" s="30" t="n">
        <v>46263</v>
      </c>
      <c r="B668" s="12" t="n">
        <v>7969687.35</v>
      </c>
      <c r="C668" s="14" t="n">
        <v>0</v>
      </c>
    </row>
    <row r="669" customFormat="false" ht="15" hidden="false" customHeight="false" outlineLevel="0" collapsed="false">
      <c r="A669" s="30" t="n">
        <v>46264</v>
      </c>
      <c r="B669" s="12" t="n">
        <v>7969687.35</v>
      </c>
      <c r="C669" s="14" t="n">
        <v>0</v>
      </c>
    </row>
    <row r="670" customFormat="false" ht="15" hidden="false" customHeight="false" outlineLevel="0" collapsed="false">
      <c r="A670" s="30" t="n">
        <v>46265</v>
      </c>
      <c r="B670" s="12" t="n">
        <v>7969687.35</v>
      </c>
      <c r="C670" s="14" t="n">
        <v>0</v>
      </c>
    </row>
    <row r="671" customFormat="false" ht="15" hidden="false" customHeight="false" outlineLevel="0" collapsed="false">
      <c r="A671" s="30" t="n">
        <v>46266</v>
      </c>
      <c r="B671" s="12" t="n">
        <v>4246547.35</v>
      </c>
      <c r="C671" s="14" t="n">
        <v>0</v>
      </c>
    </row>
    <row r="672" customFormat="false" ht="15" hidden="false" customHeight="false" outlineLevel="0" collapsed="false">
      <c r="A672" s="30" t="n">
        <v>46267</v>
      </c>
      <c r="B672" s="12" t="n">
        <v>4246547.35</v>
      </c>
      <c r="C672" s="14" t="n">
        <v>0</v>
      </c>
    </row>
    <row r="673" customFormat="false" ht="15" hidden="false" customHeight="false" outlineLevel="0" collapsed="false">
      <c r="A673" s="30" t="n">
        <v>46268</v>
      </c>
      <c r="B673" s="12" t="n">
        <v>3656200.98</v>
      </c>
      <c r="C673" s="14" t="n">
        <v>0</v>
      </c>
    </row>
    <row r="674" customFormat="false" ht="15" hidden="false" customHeight="false" outlineLevel="0" collapsed="false">
      <c r="A674" s="30" t="n">
        <v>46269</v>
      </c>
      <c r="B674" s="12" t="n">
        <v>3656200.98</v>
      </c>
      <c r="C674" s="14" t="n">
        <v>0</v>
      </c>
    </row>
    <row r="675" customFormat="false" ht="15" hidden="false" customHeight="false" outlineLevel="0" collapsed="false">
      <c r="A675" s="30" t="n">
        <v>46270</v>
      </c>
      <c r="B675" s="12" t="n">
        <v>3656200.98</v>
      </c>
      <c r="C675" s="14" t="n">
        <v>0</v>
      </c>
    </row>
    <row r="676" customFormat="false" ht="15" hidden="false" customHeight="false" outlineLevel="0" collapsed="false">
      <c r="A676" s="30" t="n">
        <v>46271</v>
      </c>
      <c r="B676" s="12" t="n">
        <v>3656200.98</v>
      </c>
      <c r="C676" s="14" t="n">
        <v>0</v>
      </c>
    </row>
    <row r="677" customFormat="false" ht="15" hidden="false" customHeight="false" outlineLevel="0" collapsed="false">
      <c r="A677" s="30" t="n">
        <v>46272</v>
      </c>
      <c r="B677" s="12" t="n">
        <v>3320200.98</v>
      </c>
      <c r="C677" s="14" t="n">
        <v>9850</v>
      </c>
    </row>
    <row r="678" customFormat="false" ht="15" hidden="false" customHeight="false" outlineLevel="0" collapsed="false">
      <c r="A678" s="30" t="n">
        <v>46273</v>
      </c>
      <c r="B678" s="12" t="n">
        <v>3320200.98</v>
      </c>
      <c r="C678" s="14" t="n">
        <v>19100</v>
      </c>
    </row>
    <row r="679" customFormat="false" ht="15" hidden="false" customHeight="false" outlineLevel="0" collapsed="false">
      <c r="A679" s="30" t="n">
        <v>46274</v>
      </c>
      <c r="B679" s="12" t="n">
        <v>3320200.98</v>
      </c>
      <c r="C679" s="14" t="n">
        <v>19100</v>
      </c>
    </row>
    <row r="680" customFormat="false" ht="15" hidden="false" customHeight="false" outlineLevel="0" collapsed="false">
      <c r="A680" s="30" t="n">
        <v>46275</v>
      </c>
      <c r="B680" s="12" t="n">
        <v>3320200.98</v>
      </c>
      <c r="C680" s="14" t="n">
        <v>19100</v>
      </c>
    </row>
    <row r="681" customFormat="false" ht="15" hidden="false" customHeight="false" outlineLevel="0" collapsed="false">
      <c r="A681" s="30" t="n">
        <v>46276</v>
      </c>
      <c r="B681" s="12" t="n">
        <v>3320200.98</v>
      </c>
      <c r="C681" s="14" t="n">
        <v>19100</v>
      </c>
    </row>
    <row r="682" customFormat="false" ht="15" hidden="false" customHeight="false" outlineLevel="0" collapsed="false">
      <c r="A682" s="30" t="n">
        <v>46277</v>
      </c>
      <c r="B682" s="12" t="n">
        <v>3320200.98</v>
      </c>
      <c r="C682" s="14" t="n">
        <v>19100</v>
      </c>
    </row>
    <row r="683" customFormat="false" ht="15" hidden="false" customHeight="false" outlineLevel="0" collapsed="false">
      <c r="A683" s="30" t="n">
        <v>46278</v>
      </c>
      <c r="B683" s="12" t="n">
        <v>3320200.98</v>
      </c>
      <c r="C683" s="14" t="n">
        <v>19100</v>
      </c>
    </row>
    <row r="684" customFormat="false" ht="15" hidden="false" customHeight="false" outlineLevel="0" collapsed="false">
      <c r="A684" s="30" t="n">
        <v>46279</v>
      </c>
      <c r="B684" s="12" t="n">
        <v>3320200.98</v>
      </c>
      <c r="C684" s="14" t="n">
        <v>37030</v>
      </c>
    </row>
    <row r="685" customFormat="false" ht="15" hidden="false" customHeight="false" outlineLevel="0" collapsed="false">
      <c r="A685" s="30" t="n">
        <v>46280</v>
      </c>
      <c r="B685" s="12" t="n">
        <v>2720200.98</v>
      </c>
      <c r="C685" s="14" t="n">
        <v>44160</v>
      </c>
    </row>
    <row r="686" customFormat="false" ht="15" hidden="false" customHeight="false" outlineLevel="0" collapsed="false">
      <c r="A686" s="30" t="n">
        <v>46281</v>
      </c>
      <c r="B686" s="12" t="n">
        <v>2720200.98</v>
      </c>
      <c r="C686" s="14" t="n">
        <v>44160</v>
      </c>
    </row>
    <row r="687" customFormat="false" ht="15" hidden="false" customHeight="false" outlineLevel="0" collapsed="false">
      <c r="A687" s="30" t="n">
        <v>46282</v>
      </c>
      <c r="B687" s="12" t="n">
        <v>2720200.98</v>
      </c>
      <c r="C687" s="14" t="n">
        <v>44160</v>
      </c>
    </row>
    <row r="688" customFormat="false" ht="15" hidden="false" customHeight="false" outlineLevel="0" collapsed="false">
      <c r="A688" s="30" t="n">
        <v>46283</v>
      </c>
      <c r="B688" s="12" t="n">
        <v>2720200.98</v>
      </c>
      <c r="C688" s="14" t="n">
        <v>44160</v>
      </c>
    </row>
    <row r="689" customFormat="false" ht="15" hidden="false" customHeight="false" outlineLevel="0" collapsed="false">
      <c r="A689" s="30" t="n">
        <v>46284</v>
      </c>
      <c r="B689" s="12" t="n">
        <v>2720200.98</v>
      </c>
      <c r="C689" s="14" t="n">
        <v>44160</v>
      </c>
    </row>
    <row r="690" customFormat="false" ht="15" hidden="false" customHeight="false" outlineLevel="0" collapsed="false">
      <c r="A690" s="30" t="n">
        <v>46285</v>
      </c>
      <c r="B690" s="12" t="n">
        <v>2720200.98</v>
      </c>
      <c r="C690" s="14" t="n">
        <v>44160</v>
      </c>
    </row>
    <row r="691" customFormat="false" ht="15" hidden="false" customHeight="false" outlineLevel="0" collapsed="false">
      <c r="A691" s="30" t="n">
        <v>46286</v>
      </c>
      <c r="B691" s="12" t="n">
        <v>2591052.98</v>
      </c>
      <c r="C691" s="14" t="n">
        <v>52790</v>
      </c>
    </row>
    <row r="692" customFormat="false" ht="15" hidden="false" customHeight="false" outlineLevel="0" collapsed="false">
      <c r="A692" s="30" t="n">
        <v>46287</v>
      </c>
      <c r="B692" s="12" t="n">
        <v>2591052.98</v>
      </c>
      <c r="C692" s="14" t="n">
        <v>69900</v>
      </c>
    </row>
    <row r="693" customFormat="false" ht="15" hidden="false" customHeight="false" outlineLevel="0" collapsed="false">
      <c r="A693" s="30" t="n">
        <v>46288</v>
      </c>
      <c r="B693" s="12" t="n">
        <v>2591052.98</v>
      </c>
      <c r="C693" s="14" t="n">
        <v>69900</v>
      </c>
    </row>
    <row r="694" customFormat="false" ht="15" hidden="false" customHeight="false" outlineLevel="0" collapsed="false">
      <c r="A694" s="30" t="n">
        <v>46289</v>
      </c>
      <c r="B694" s="12" t="n">
        <v>2311052.98</v>
      </c>
      <c r="C694" s="14" t="n">
        <v>69900</v>
      </c>
    </row>
    <row r="695" customFormat="false" ht="15" hidden="false" customHeight="false" outlineLevel="0" collapsed="false">
      <c r="A695" s="30" t="n">
        <v>46290</v>
      </c>
      <c r="B695" s="12" t="n">
        <v>2311052.98</v>
      </c>
      <c r="C695" s="14" t="n">
        <v>69900</v>
      </c>
    </row>
    <row r="696" customFormat="false" ht="15" hidden="false" customHeight="false" outlineLevel="0" collapsed="false">
      <c r="A696" s="30" t="n">
        <v>46291</v>
      </c>
      <c r="B696" s="12" t="n">
        <v>2311052.98</v>
      </c>
      <c r="C696" s="14" t="n">
        <v>69900</v>
      </c>
    </row>
    <row r="697" customFormat="false" ht="15" hidden="false" customHeight="false" outlineLevel="0" collapsed="false">
      <c r="A697" s="30" t="n">
        <v>46292</v>
      </c>
      <c r="B697" s="12" t="n">
        <v>2311052.98</v>
      </c>
      <c r="C697" s="14" t="n">
        <v>69900</v>
      </c>
    </row>
    <row r="698" customFormat="false" ht="15" hidden="false" customHeight="false" outlineLevel="0" collapsed="false">
      <c r="A698" s="30" t="n">
        <v>46293</v>
      </c>
      <c r="B698" s="12" t="n">
        <v>2311052.98</v>
      </c>
      <c r="C698" s="14" t="n">
        <v>69900</v>
      </c>
    </row>
    <row r="699" customFormat="false" ht="15" hidden="false" customHeight="false" outlineLevel="0" collapsed="false">
      <c r="A699" s="30" t="n">
        <v>46294</v>
      </c>
      <c r="B699" s="12" t="n">
        <v>5025369.58</v>
      </c>
      <c r="C699" s="14" t="n">
        <v>38900</v>
      </c>
    </row>
    <row r="700" customFormat="false" ht="15" hidden="false" customHeight="false" outlineLevel="0" collapsed="false">
      <c r="A700" s="30" t="n">
        <v>46295</v>
      </c>
      <c r="B700" s="12" t="n">
        <v>5025369.58</v>
      </c>
      <c r="C700" s="14" t="n">
        <v>38900</v>
      </c>
    </row>
    <row r="701" customFormat="false" ht="15" hidden="false" customHeight="false" outlineLevel="0" collapsed="false">
      <c r="A701" s="30" t="n">
        <v>46296</v>
      </c>
      <c r="B701" s="12" t="n">
        <v>1315769.58</v>
      </c>
      <c r="C701" s="14" t="n">
        <v>38900</v>
      </c>
    </row>
    <row r="702" customFormat="false" ht="15" hidden="false" customHeight="false" outlineLevel="0" collapsed="false">
      <c r="A702" s="30" t="n">
        <v>46297</v>
      </c>
      <c r="B702" s="12" t="n">
        <v>1315769.58</v>
      </c>
      <c r="C702" s="14" t="n">
        <v>38900</v>
      </c>
    </row>
    <row r="703" customFormat="false" ht="15" hidden="false" customHeight="false" outlineLevel="0" collapsed="false">
      <c r="A703" s="30" t="n">
        <v>46298</v>
      </c>
      <c r="B703" s="12" t="n">
        <v>1315769.58</v>
      </c>
      <c r="C703" s="14" t="n">
        <v>38900</v>
      </c>
    </row>
    <row r="704" customFormat="false" ht="15" hidden="false" customHeight="false" outlineLevel="0" collapsed="false">
      <c r="A704" s="30" t="n">
        <v>46299</v>
      </c>
      <c r="B704" s="12" t="n">
        <v>1315769.58</v>
      </c>
      <c r="C704" s="14" t="n">
        <v>38900</v>
      </c>
    </row>
    <row r="705" customFormat="false" ht="15" hidden="false" customHeight="false" outlineLevel="0" collapsed="false">
      <c r="A705" s="30" t="n">
        <v>46300</v>
      </c>
      <c r="B705" s="12" t="n">
        <v>979769.58</v>
      </c>
      <c r="C705" s="14" t="n">
        <v>31622.42</v>
      </c>
    </row>
    <row r="706" customFormat="false" ht="15" hidden="false" customHeight="false" outlineLevel="0" collapsed="false">
      <c r="A706" s="30" t="n">
        <v>46301</v>
      </c>
      <c r="B706" s="12" t="n">
        <v>979769.58</v>
      </c>
      <c r="C706" s="14" t="n">
        <v>31622.42</v>
      </c>
    </row>
    <row r="707" customFormat="false" ht="15" hidden="false" customHeight="false" outlineLevel="0" collapsed="false">
      <c r="A707" s="30" t="n">
        <v>46302</v>
      </c>
      <c r="B707" s="12" t="n">
        <v>979769.58</v>
      </c>
      <c r="C707" s="14" t="n">
        <v>40962.42</v>
      </c>
    </row>
    <row r="708" customFormat="false" ht="15" hidden="false" customHeight="false" outlineLevel="0" collapsed="false">
      <c r="A708" s="30" t="n">
        <v>46303</v>
      </c>
      <c r="B708" s="12" t="n">
        <v>979769.58</v>
      </c>
      <c r="C708" s="14" t="n">
        <v>45592.42</v>
      </c>
    </row>
    <row r="709" customFormat="false" ht="15" hidden="false" customHeight="false" outlineLevel="0" collapsed="false">
      <c r="A709" s="30" t="n">
        <v>46304</v>
      </c>
      <c r="B709" s="12" t="n">
        <v>979769.58</v>
      </c>
      <c r="C709" s="14" t="n">
        <v>49012.42</v>
      </c>
    </row>
    <row r="710" customFormat="false" ht="15" hidden="false" customHeight="false" outlineLevel="0" collapsed="false">
      <c r="A710" s="30" t="n">
        <v>46305</v>
      </c>
      <c r="B710" s="12" t="n">
        <v>979769.58</v>
      </c>
      <c r="C710" s="14" t="n">
        <v>49012.42</v>
      </c>
    </row>
    <row r="711" customFormat="false" ht="15" hidden="false" customHeight="false" outlineLevel="0" collapsed="false">
      <c r="A711" s="30" t="n">
        <v>46306</v>
      </c>
      <c r="B711" s="12" t="n">
        <v>979769.58</v>
      </c>
      <c r="C711" s="14" t="n">
        <v>49012.42</v>
      </c>
    </row>
    <row r="712" customFormat="false" ht="15" hidden="false" customHeight="false" outlineLevel="0" collapsed="false">
      <c r="A712" s="30" t="n">
        <v>46307</v>
      </c>
      <c r="B712" s="12" t="n">
        <v>979769.58</v>
      </c>
      <c r="C712" s="14" t="n">
        <v>59022.42</v>
      </c>
    </row>
    <row r="713" customFormat="false" ht="15" hidden="false" customHeight="false" outlineLevel="0" collapsed="false">
      <c r="A713" s="30" t="n">
        <v>46308</v>
      </c>
      <c r="B713" s="12" t="n">
        <v>979769.58</v>
      </c>
      <c r="C713" s="14" t="n">
        <v>59022.42</v>
      </c>
    </row>
    <row r="714" customFormat="false" ht="15" hidden="false" customHeight="false" outlineLevel="0" collapsed="false">
      <c r="A714" s="30" t="n">
        <v>46309</v>
      </c>
      <c r="B714" s="12" t="n">
        <v>979769.58</v>
      </c>
      <c r="C714" s="14" t="n">
        <v>66782.42</v>
      </c>
    </row>
    <row r="715" customFormat="false" ht="15" hidden="false" customHeight="false" outlineLevel="0" collapsed="false">
      <c r="A715" s="30" t="n">
        <v>46310</v>
      </c>
      <c r="B715" s="12" t="n">
        <v>979769.58</v>
      </c>
      <c r="C715" s="14" t="n">
        <v>66782.42</v>
      </c>
    </row>
    <row r="716" customFormat="false" ht="15" hidden="false" customHeight="false" outlineLevel="0" collapsed="false">
      <c r="A716" s="30" t="n">
        <v>46311</v>
      </c>
      <c r="B716" s="12" t="n">
        <v>979769.58</v>
      </c>
      <c r="C716" s="14" t="n">
        <v>66782.42</v>
      </c>
    </row>
    <row r="717" customFormat="false" ht="15" hidden="false" customHeight="false" outlineLevel="0" collapsed="false">
      <c r="A717" s="30" t="n">
        <v>46312</v>
      </c>
      <c r="B717" s="12" t="n">
        <v>979769.58</v>
      </c>
      <c r="C717" s="14" t="n">
        <v>66782.42</v>
      </c>
    </row>
    <row r="718" customFormat="false" ht="15" hidden="false" customHeight="false" outlineLevel="0" collapsed="false">
      <c r="A718" s="30" t="n">
        <v>46313</v>
      </c>
      <c r="B718" s="12" t="n">
        <v>979769.58</v>
      </c>
      <c r="C718" s="14" t="n">
        <v>66782.42</v>
      </c>
    </row>
    <row r="719" customFormat="false" ht="15" hidden="false" customHeight="false" outlineLevel="0" collapsed="false">
      <c r="A719" s="30" t="n">
        <v>46314</v>
      </c>
      <c r="B719" s="12" t="n">
        <v>979769.58</v>
      </c>
      <c r="C719" s="14" t="n">
        <v>66782.42</v>
      </c>
    </row>
    <row r="720" customFormat="false" ht="15" hidden="false" customHeight="false" outlineLevel="0" collapsed="false">
      <c r="A720" s="30" t="n">
        <v>46315</v>
      </c>
      <c r="B720" s="12" t="n">
        <v>856292.58</v>
      </c>
      <c r="C720" s="14" t="n">
        <v>92522.42</v>
      </c>
    </row>
    <row r="721" customFormat="false" ht="15" hidden="false" customHeight="false" outlineLevel="0" collapsed="false">
      <c r="A721" s="30" t="n">
        <v>46316</v>
      </c>
      <c r="B721" s="12" t="n">
        <v>856292.58</v>
      </c>
      <c r="C721" s="14" t="n">
        <v>92522.42</v>
      </c>
    </row>
    <row r="722" customFormat="false" ht="15" hidden="false" customHeight="false" outlineLevel="0" collapsed="false">
      <c r="A722" s="30" t="n">
        <v>46317</v>
      </c>
      <c r="B722" s="12" t="n">
        <v>856292.58</v>
      </c>
      <c r="C722" s="14" t="n">
        <v>92522.42</v>
      </c>
    </row>
    <row r="723" customFormat="false" ht="15" hidden="false" customHeight="false" outlineLevel="0" collapsed="false">
      <c r="A723" s="30" t="n">
        <v>46318</v>
      </c>
      <c r="B723" s="12" t="n">
        <v>856292.58</v>
      </c>
      <c r="C723" s="14" t="n">
        <v>92522.42</v>
      </c>
    </row>
    <row r="724" customFormat="false" ht="15" hidden="false" customHeight="false" outlineLevel="0" collapsed="false">
      <c r="A724" s="30" t="n">
        <v>46319</v>
      </c>
      <c r="B724" s="12" t="n">
        <v>856292.58</v>
      </c>
      <c r="C724" s="14" t="n">
        <v>92522.42</v>
      </c>
    </row>
    <row r="725" customFormat="false" ht="15" hidden="false" customHeight="false" outlineLevel="0" collapsed="false">
      <c r="A725" s="30" t="n">
        <v>46320</v>
      </c>
      <c r="B725" s="12" t="n">
        <v>856292.58</v>
      </c>
      <c r="C725" s="14" t="n">
        <v>92522.42</v>
      </c>
    </row>
    <row r="726" customFormat="false" ht="15" hidden="false" customHeight="false" outlineLevel="0" collapsed="false">
      <c r="A726" s="30" t="n">
        <v>46321</v>
      </c>
      <c r="B726" s="12" t="n">
        <v>856292.58</v>
      </c>
      <c r="C726" s="14" t="n">
        <v>92522.42</v>
      </c>
    </row>
  </sheetData>
  <autoFilter ref="A1:C72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0"/>
  </cols>
  <sheetData>
    <row r="1" customFormat="false" ht="23.85" hidden="false" customHeight="false" outlineLevel="0" collapsed="false">
      <c r="A1" s="4" t="s">
        <v>504</v>
      </c>
      <c r="B1" s="4" t="s">
        <v>558</v>
      </c>
    </row>
    <row r="2" customFormat="false" ht="15" hidden="false" customHeight="false" outlineLevel="0" collapsed="false">
      <c r="A2" s="30" t="n">
        <v>45597</v>
      </c>
      <c r="B2" s="36" t="n">
        <v>84.5482</v>
      </c>
    </row>
    <row r="3" customFormat="false" ht="15" hidden="false" customHeight="false" outlineLevel="0" collapsed="false">
      <c r="A3" s="30" t="n">
        <v>45600</v>
      </c>
      <c r="B3" s="36" t="n">
        <v>84.2228</v>
      </c>
    </row>
    <row r="4" customFormat="false" ht="15" hidden="false" customHeight="false" outlineLevel="0" collapsed="false">
      <c r="A4" s="30" t="n">
        <v>45601</v>
      </c>
      <c r="B4" s="36" t="n">
        <v>84.5024</v>
      </c>
    </row>
    <row r="5" customFormat="false" ht="15" hidden="false" customHeight="false" outlineLevel="0" collapsed="false">
      <c r="A5" s="30" t="n">
        <v>45602</v>
      </c>
      <c r="B5" s="36" t="n">
        <v>84.4872</v>
      </c>
    </row>
    <row r="6" customFormat="false" ht="15" hidden="false" customHeight="false" outlineLevel="0" collapsed="false">
      <c r="A6" s="30" t="n">
        <v>45603</v>
      </c>
      <c r="B6" s="36" t="n">
        <v>84.61</v>
      </c>
    </row>
    <row r="7" customFormat="false" ht="15" hidden="false" customHeight="false" outlineLevel="0" collapsed="false">
      <c r="A7" s="30" t="n">
        <v>45604</v>
      </c>
      <c r="B7" s="36" t="n">
        <v>84.5878</v>
      </c>
    </row>
    <row r="8" customFormat="false" ht="15" hidden="false" customHeight="false" outlineLevel="0" collapsed="false">
      <c r="A8" s="30" t="n">
        <v>45607</v>
      </c>
      <c r="B8" s="36" t="n">
        <v>84.5224</v>
      </c>
    </row>
    <row r="9" customFormat="false" ht="15" hidden="false" customHeight="false" outlineLevel="0" collapsed="false">
      <c r="A9" s="30" t="n">
        <v>45608</v>
      </c>
      <c r="B9" s="36" t="n">
        <v>84.6067</v>
      </c>
    </row>
    <row r="10" customFormat="false" ht="15" hidden="false" customHeight="false" outlineLevel="0" collapsed="false">
      <c r="A10" s="30" t="n">
        <v>45609</v>
      </c>
      <c r="B10" s="36" t="n">
        <v>84.7553</v>
      </c>
    </row>
    <row r="11" customFormat="false" ht="15" hidden="false" customHeight="false" outlineLevel="0" collapsed="false">
      <c r="A11" s="30" t="n">
        <v>45610</v>
      </c>
      <c r="B11" s="36" t="n">
        <v>84.7213</v>
      </c>
    </row>
    <row r="12" customFormat="false" ht="15" hidden="false" customHeight="false" outlineLevel="0" collapsed="false">
      <c r="A12" s="30" t="n">
        <v>45611</v>
      </c>
      <c r="B12" s="36" t="n">
        <v>84.6961</v>
      </c>
    </row>
    <row r="13" customFormat="false" ht="15" hidden="false" customHeight="false" outlineLevel="0" collapsed="false">
      <c r="A13" s="30" t="n">
        <v>45614</v>
      </c>
      <c r="B13" s="36" t="n">
        <v>84.8201</v>
      </c>
    </row>
    <row r="14" customFormat="false" ht="15" hidden="false" customHeight="false" outlineLevel="0" collapsed="false">
      <c r="A14" s="30" t="n">
        <v>45615</v>
      </c>
      <c r="B14" s="36" t="n">
        <v>84.6672</v>
      </c>
    </row>
    <row r="15" customFormat="false" ht="15" hidden="false" customHeight="false" outlineLevel="0" collapsed="false">
      <c r="A15" s="30" t="n">
        <v>45616</v>
      </c>
      <c r="B15" s="36" t="n">
        <v>84.4004</v>
      </c>
    </row>
    <row r="16" customFormat="false" ht="15" hidden="false" customHeight="false" outlineLevel="0" collapsed="false">
      <c r="A16" s="30" t="n">
        <v>45617</v>
      </c>
      <c r="B16" s="36" t="n">
        <v>84.4724</v>
      </c>
    </row>
    <row r="17" customFormat="false" ht="15" hidden="false" customHeight="false" outlineLevel="0" collapsed="false">
      <c r="A17" s="30" t="n">
        <v>45618</v>
      </c>
      <c r="B17" s="36" t="n">
        <v>84.3555</v>
      </c>
    </row>
    <row r="18" customFormat="false" ht="15" hidden="false" customHeight="false" outlineLevel="0" collapsed="false">
      <c r="A18" s="30" t="n">
        <v>45621</v>
      </c>
      <c r="B18" s="36" t="n">
        <v>84.018</v>
      </c>
    </row>
    <row r="19" customFormat="false" ht="15" hidden="false" customHeight="false" outlineLevel="0" collapsed="false">
      <c r="A19" s="30" t="n">
        <v>45622</v>
      </c>
      <c r="B19" s="36" t="n">
        <v>83.8765</v>
      </c>
    </row>
    <row r="20" customFormat="false" ht="15" hidden="false" customHeight="false" outlineLevel="0" collapsed="false">
      <c r="A20" s="30" t="n">
        <v>45623</v>
      </c>
      <c r="B20" s="36" t="n">
        <v>83.7961</v>
      </c>
    </row>
    <row r="21" customFormat="false" ht="15" hidden="false" customHeight="false" outlineLevel="0" collapsed="false">
      <c r="A21" s="30" t="n">
        <v>45624</v>
      </c>
      <c r="B21" s="36" t="n">
        <v>83.5884</v>
      </c>
    </row>
    <row r="22" customFormat="false" ht="15" hidden="false" customHeight="false" outlineLevel="0" collapsed="false">
      <c r="A22" s="30" t="n">
        <v>45625</v>
      </c>
      <c r="B22" s="36" t="n">
        <v>83.3288</v>
      </c>
    </row>
    <row r="23" customFormat="false" ht="15" hidden="false" customHeight="false" outlineLevel="0" collapsed="false">
      <c r="A23" s="30" t="n">
        <v>45628</v>
      </c>
      <c r="B23" s="36" t="n">
        <v>83.3371</v>
      </c>
    </row>
    <row r="24" customFormat="false" ht="15" hidden="false" customHeight="false" outlineLevel="0" collapsed="false">
      <c r="A24" s="30" t="n">
        <v>45629</v>
      </c>
      <c r="B24" s="36" t="n">
        <v>83.4963</v>
      </c>
    </row>
    <row r="25" customFormat="false" ht="15" hidden="false" customHeight="false" outlineLevel="0" collapsed="false">
      <c r="A25" s="30" t="n">
        <v>45630</v>
      </c>
      <c r="B25" s="36" t="n">
        <v>83.4574</v>
      </c>
    </row>
    <row r="26" customFormat="false" ht="15" hidden="false" customHeight="false" outlineLevel="0" collapsed="false">
      <c r="A26" s="30" t="n">
        <v>45631</v>
      </c>
      <c r="B26" s="36" t="n">
        <v>83.3291</v>
      </c>
    </row>
    <row r="27" customFormat="false" ht="15" hidden="false" customHeight="false" outlineLevel="0" collapsed="false">
      <c r="A27" s="30" t="n">
        <v>45632</v>
      </c>
      <c r="B27" s="36" t="n">
        <v>83.3985</v>
      </c>
    </row>
    <row r="28" customFormat="false" ht="15" hidden="false" customHeight="false" outlineLevel="0" collapsed="false">
      <c r="A28" s="30" t="n">
        <v>45635</v>
      </c>
      <c r="B28" s="36" t="n">
        <v>83.5262</v>
      </c>
    </row>
    <row r="29" customFormat="false" ht="15" hidden="false" customHeight="false" outlineLevel="0" collapsed="false">
      <c r="A29" s="30" t="n">
        <v>45636</v>
      </c>
      <c r="B29" s="36" t="n">
        <v>83.4755</v>
      </c>
    </row>
    <row r="30" customFormat="false" ht="15" hidden="false" customHeight="false" outlineLevel="0" collapsed="false">
      <c r="A30" s="30" t="n">
        <v>45637</v>
      </c>
      <c r="B30" s="36" t="n">
        <v>83.573</v>
      </c>
    </row>
    <row r="31" customFormat="false" ht="15" hidden="false" customHeight="false" outlineLevel="0" collapsed="false">
      <c r="A31" s="30" t="n">
        <v>45638</v>
      </c>
      <c r="B31" s="36" t="n">
        <v>83.7582</v>
      </c>
    </row>
    <row r="32" customFormat="false" ht="15" hidden="false" customHeight="false" outlineLevel="0" collapsed="false">
      <c r="A32" s="30" t="n">
        <v>45639</v>
      </c>
      <c r="B32" s="36" t="n">
        <v>83.7238</v>
      </c>
    </row>
    <row r="33" customFormat="false" ht="15" hidden="false" customHeight="false" outlineLevel="0" collapsed="false">
      <c r="A33" s="30" t="n">
        <v>45642</v>
      </c>
      <c r="B33" s="36" t="n">
        <v>83.5829</v>
      </c>
    </row>
    <row r="34" customFormat="false" ht="15" hidden="false" customHeight="false" outlineLevel="0" collapsed="false">
      <c r="A34" s="30" t="n">
        <v>45643</v>
      </c>
      <c r="B34" s="36" t="n">
        <v>83.6459</v>
      </c>
    </row>
    <row r="35" customFormat="false" ht="15" hidden="false" customHeight="false" outlineLevel="0" collapsed="false">
      <c r="A35" s="30" t="n">
        <v>45644</v>
      </c>
      <c r="B35" s="36" t="n">
        <v>83.6913</v>
      </c>
    </row>
    <row r="36" customFormat="false" ht="15" hidden="false" customHeight="false" outlineLevel="0" collapsed="false">
      <c r="A36" s="30" t="n">
        <v>45645</v>
      </c>
      <c r="B36" s="36" t="n">
        <v>83.8867</v>
      </c>
    </row>
    <row r="37" customFormat="false" ht="15" hidden="false" customHeight="false" outlineLevel="0" collapsed="false">
      <c r="A37" s="30" t="n">
        <v>45646</v>
      </c>
      <c r="B37" s="36" t="n">
        <v>83.6626</v>
      </c>
    </row>
    <row r="38" customFormat="false" ht="15" hidden="false" customHeight="false" outlineLevel="0" collapsed="false">
      <c r="A38" s="30" t="n">
        <v>45649</v>
      </c>
      <c r="B38" s="36" t="n">
        <v>83.5484</v>
      </c>
    </row>
    <row r="39" customFormat="false" ht="15" hidden="false" customHeight="false" outlineLevel="0" collapsed="false">
      <c r="A39" s="30" t="n">
        <v>45650</v>
      </c>
      <c r="B39" s="36" t="n">
        <v>83.4035</v>
      </c>
    </row>
    <row r="40" customFormat="false" ht="15" hidden="false" customHeight="false" outlineLevel="0" collapsed="false">
      <c r="A40" s="30" t="n">
        <v>45651</v>
      </c>
      <c r="B40" s="36" t="n">
        <v>83.1023</v>
      </c>
    </row>
    <row r="41" customFormat="false" ht="15" hidden="false" customHeight="false" outlineLevel="0" collapsed="false">
      <c r="A41" s="30" t="n">
        <v>45652</v>
      </c>
      <c r="B41" s="36" t="n">
        <v>83.1263</v>
      </c>
    </row>
    <row r="42" customFormat="false" ht="15" hidden="false" customHeight="false" outlineLevel="0" collapsed="false">
      <c r="A42" s="30" t="n">
        <v>45653</v>
      </c>
      <c r="B42" s="36" t="n">
        <v>83.2204</v>
      </c>
    </row>
    <row r="43" customFormat="false" ht="15" hidden="false" customHeight="false" outlineLevel="0" collapsed="false">
      <c r="A43" s="30" t="n">
        <v>45656</v>
      </c>
      <c r="B43" s="36" t="n">
        <v>83.0934</v>
      </c>
    </row>
    <row r="44" customFormat="false" ht="15" hidden="false" customHeight="false" outlineLevel="0" collapsed="false">
      <c r="A44" s="30" t="n">
        <v>45657</v>
      </c>
      <c r="B44" s="36" t="n">
        <v>83.3375</v>
      </c>
    </row>
    <row r="45" customFormat="false" ht="15" hidden="false" customHeight="false" outlineLevel="0" collapsed="false">
      <c r="A45" s="30" t="n">
        <v>45658</v>
      </c>
      <c r="B45" s="36" t="n">
        <v>83.4834</v>
      </c>
    </row>
    <row r="46" customFormat="false" ht="15" hidden="false" customHeight="false" outlineLevel="0" collapsed="false">
      <c r="A46" s="30" t="n">
        <v>45659</v>
      </c>
      <c r="B46" s="36" t="n">
        <v>83.5955</v>
      </c>
    </row>
    <row r="47" customFormat="false" ht="15" hidden="false" customHeight="false" outlineLevel="0" collapsed="false">
      <c r="A47" s="30" t="n">
        <v>45660</v>
      </c>
      <c r="B47" s="36" t="n">
        <v>83.668</v>
      </c>
    </row>
    <row r="48" customFormat="false" ht="15" hidden="false" customHeight="false" outlineLevel="0" collapsed="false">
      <c r="A48" s="30" t="n">
        <v>45663</v>
      </c>
      <c r="B48" s="36" t="n">
        <v>83.838</v>
      </c>
    </row>
    <row r="49" customFormat="false" ht="15" hidden="false" customHeight="false" outlineLevel="0" collapsed="false">
      <c r="A49" s="30" t="n">
        <v>45664</v>
      </c>
      <c r="B49" s="36" t="n">
        <v>83.6058</v>
      </c>
    </row>
    <row r="50" customFormat="false" ht="15" hidden="false" customHeight="false" outlineLevel="0" collapsed="false">
      <c r="A50" s="30" t="n">
        <v>45665</v>
      </c>
      <c r="B50" s="36" t="n">
        <v>83.7157</v>
      </c>
    </row>
    <row r="51" customFormat="false" ht="15" hidden="false" customHeight="false" outlineLevel="0" collapsed="false">
      <c r="A51" s="30" t="n">
        <v>45666</v>
      </c>
      <c r="B51" s="36" t="n">
        <v>83.8237</v>
      </c>
    </row>
    <row r="52" customFormat="false" ht="15" hidden="false" customHeight="false" outlineLevel="0" collapsed="false">
      <c r="A52" s="30" t="n">
        <v>45667</v>
      </c>
      <c r="B52" s="36" t="n">
        <v>83.515</v>
      </c>
    </row>
    <row r="53" customFormat="false" ht="15" hidden="false" customHeight="false" outlineLevel="0" collapsed="false">
      <c r="A53" s="30" t="n">
        <v>45670</v>
      </c>
      <c r="B53" s="36" t="n">
        <v>83.5779</v>
      </c>
    </row>
    <row r="54" customFormat="false" ht="15" hidden="false" customHeight="false" outlineLevel="0" collapsed="false">
      <c r="A54" s="30" t="n">
        <v>45671</v>
      </c>
      <c r="B54" s="36" t="n">
        <v>83.5359</v>
      </c>
    </row>
    <row r="55" customFormat="false" ht="15" hidden="false" customHeight="false" outlineLevel="0" collapsed="false">
      <c r="A55" s="30" t="n">
        <v>45672</v>
      </c>
      <c r="B55" s="36" t="n">
        <v>83.6751</v>
      </c>
    </row>
    <row r="56" customFormat="false" ht="15" hidden="false" customHeight="false" outlineLevel="0" collapsed="false">
      <c r="A56" s="30" t="n">
        <v>45673</v>
      </c>
      <c r="B56" s="36" t="n">
        <v>83.5999</v>
      </c>
    </row>
    <row r="57" customFormat="false" ht="15" hidden="false" customHeight="false" outlineLevel="0" collapsed="false">
      <c r="A57" s="30" t="n">
        <v>45674</v>
      </c>
      <c r="B57" s="36" t="n">
        <v>83.5987</v>
      </c>
    </row>
    <row r="58" customFormat="false" ht="15" hidden="false" customHeight="false" outlineLevel="0" collapsed="false">
      <c r="A58" s="30" t="n">
        <v>45677</v>
      </c>
      <c r="B58" s="36" t="n">
        <v>83.6609</v>
      </c>
    </row>
    <row r="59" customFormat="false" ht="15" hidden="false" customHeight="false" outlineLevel="0" collapsed="false">
      <c r="A59" s="30" t="n">
        <v>45678</v>
      </c>
      <c r="B59" s="36" t="n">
        <v>83.5091</v>
      </c>
    </row>
    <row r="60" customFormat="false" ht="15" hidden="false" customHeight="false" outlineLevel="0" collapsed="false">
      <c r="A60" s="30" t="n">
        <v>45679</v>
      </c>
      <c r="B60" s="36" t="n">
        <v>83.6161</v>
      </c>
    </row>
    <row r="61" customFormat="false" ht="15" hidden="false" customHeight="false" outlineLevel="0" collapsed="false">
      <c r="A61" s="30" t="n">
        <v>45680</v>
      </c>
      <c r="B61" s="36" t="n">
        <v>83.5996</v>
      </c>
    </row>
    <row r="62" customFormat="false" ht="15" hidden="false" customHeight="false" outlineLevel="0" collapsed="false">
      <c r="A62" s="30" t="n">
        <v>45681</v>
      </c>
      <c r="B62" s="36" t="n">
        <v>83.6881</v>
      </c>
    </row>
    <row r="63" customFormat="false" ht="15" hidden="false" customHeight="false" outlineLevel="0" collapsed="false">
      <c r="A63" s="30" t="n">
        <v>45684</v>
      </c>
      <c r="B63" s="36" t="n">
        <v>83.5984</v>
      </c>
    </row>
    <row r="64" customFormat="false" ht="15" hidden="false" customHeight="false" outlineLevel="0" collapsed="false">
      <c r="A64" s="30" t="n">
        <v>45685</v>
      </c>
      <c r="B64" s="36" t="n">
        <v>83.7913</v>
      </c>
    </row>
    <row r="65" customFormat="false" ht="15" hidden="false" customHeight="false" outlineLevel="0" collapsed="false">
      <c r="A65" s="30" t="n">
        <v>45686</v>
      </c>
      <c r="B65" s="36" t="n">
        <v>83.8998</v>
      </c>
    </row>
    <row r="66" customFormat="false" ht="15" hidden="false" customHeight="false" outlineLevel="0" collapsed="false">
      <c r="A66" s="30" t="n">
        <v>45687</v>
      </c>
      <c r="B66" s="36" t="n">
        <v>83.8704</v>
      </c>
    </row>
    <row r="67" customFormat="false" ht="15" hidden="false" customHeight="false" outlineLevel="0" collapsed="false">
      <c r="A67" s="30" t="n">
        <v>45688</v>
      </c>
      <c r="B67" s="36" t="n">
        <v>83.9838</v>
      </c>
    </row>
    <row r="68" customFormat="false" ht="15" hidden="false" customHeight="false" outlineLevel="0" collapsed="false">
      <c r="A68" s="30" t="n">
        <v>45691</v>
      </c>
      <c r="B68" s="36" t="n">
        <v>84.2082</v>
      </c>
    </row>
    <row r="69" customFormat="false" ht="15" hidden="false" customHeight="false" outlineLevel="0" collapsed="false">
      <c r="A69" s="30" t="n">
        <v>45692</v>
      </c>
      <c r="B69" s="36" t="n">
        <v>84.5276</v>
      </c>
    </row>
    <row r="70" customFormat="false" ht="15" hidden="false" customHeight="false" outlineLevel="0" collapsed="false">
      <c r="A70" s="30" t="n">
        <v>45693</v>
      </c>
      <c r="B70" s="36" t="n">
        <v>84.2507</v>
      </c>
    </row>
    <row r="71" customFormat="false" ht="15" hidden="false" customHeight="false" outlineLevel="0" collapsed="false">
      <c r="A71" s="30" t="n">
        <v>45694</v>
      </c>
      <c r="B71" s="36" t="n">
        <v>84.4091</v>
      </c>
    </row>
    <row r="72" customFormat="false" ht="15" hidden="false" customHeight="false" outlineLevel="0" collapsed="false">
      <c r="A72" s="30" t="n">
        <v>45695</v>
      </c>
      <c r="B72" s="36" t="n">
        <v>84.4935</v>
      </c>
    </row>
    <row r="73" customFormat="false" ht="15" hidden="false" customHeight="false" outlineLevel="0" collapsed="false">
      <c r="A73" s="30" t="n">
        <v>45698</v>
      </c>
      <c r="B73" s="36" t="n">
        <v>84.4789</v>
      </c>
    </row>
    <row r="74" customFormat="false" ht="15" hidden="false" customHeight="false" outlineLevel="0" collapsed="false">
      <c r="A74" s="30" t="n">
        <v>45699</v>
      </c>
      <c r="B74" s="36" t="n">
        <v>84.3025</v>
      </c>
    </row>
    <row r="75" customFormat="false" ht="15" hidden="false" customHeight="false" outlineLevel="0" collapsed="false">
      <c r="A75" s="30" t="n">
        <v>45700</v>
      </c>
      <c r="B75" s="36" t="n">
        <v>84.5273</v>
      </c>
    </row>
    <row r="76" customFormat="false" ht="15" hidden="false" customHeight="false" outlineLevel="0" collapsed="false">
      <c r="A76" s="30" t="n">
        <v>45701</v>
      </c>
      <c r="B76" s="36" t="n">
        <v>84.3056</v>
      </c>
    </row>
    <row r="77" customFormat="false" ht="15" hidden="false" customHeight="false" outlineLevel="0" collapsed="false">
      <c r="A77" s="30" t="n">
        <v>45702</v>
      </c>
      <c r="B77" s="36" t="n">
        <v>84.408</v>
      </c>
    </row>
    <row r="78" customFormat="false" ht="15" hidden="false" customHeight="false" outlineLevel="0" collapsed="false">
      <c r="A78" s="30" t="n">
        <v>45705</v>
      </c>
      <c r="B78" s="36" t="n">
        <v>84.6411</v>
      </c>
    </row>
    <row r="79" customFormat="false" ht="15" hidden="false" customHeight="false" outlineLevel="0" collapsed="false">
      <c r="A79" s="30" t="n">
        <v>45706</v>
      </c>
      <c r="B79" s="36" t="n">
        <v>84.3592</v>
      </c>
    </row>
    <row r="80" customFormat="false" ht="15" hidden="false" customHeight="false" outlineLevel="0" collapsed="false">
      <c r="A80" s="30" t="n">
        <v>45707</v>
      </c>
      <c r="B80" s="36" t="n">
        <v>84.3077</v>
      </c>
    </row>
    <row r="81" customFormat="false" ht="15" hidden="false" customHeight="false" outlineLevel="0" collapsed="false">
      <c r="A81" s="30" t="n">
        <v>45708</v>
      </c>
      <c r="B81" s="36" t="n">
        <v>84.0782</v>
      </c>
    </row>
    <row r="82" customFormat="false" ht="15" hidden="false" customHeight="false" outlineLevel="0" collapsed="false">
      <c r="A82" s="30" t="n">
        <v>45709</v>
      </c>
      <c r="B82" s="36" t="n">
        <v>84.1232</v>
      </c>
    </row>
    <row r="83" customFormat="false" ht="15" hidden="false" customHeight="false" outlineLevel="0" collapsed="false">
      <c r="A83" s="30" t="n">
        <v>45712</v>
      </c>
      <c r="B83" s="36" t="n">
        <v>84.3932</v>
      </c>
    </row>
    <row r="84" customFormat="false" ht="15" hidden="false" customHeight="false" outlineLevel="0" collapsed="false">
      <c r="A84" s="30" t="n">
        <v>45713</v>
      </c>
      <c r="B84" s="36" t="n">
        <v>84.7546</v>
      </c>
    </row>
    <row r="85" customFormat="false" ht="15" hidden="false" customHeight="false" outlineLevel="0" collapsed="false">
      <c r="A85" s="30" t="n">
        <v>45714</v>
      </c>
      <c r="B85" s="36" t="n">
        <v>84.4407</v>
      </c>
    </row>
    <row r="86" customFormat="false" ht="15" hidden="false" customHeight="false" outlineLevel="0" collapsed="false">
      <c r="A86" s="30" t="n">
        <v>45715</v>
      </c>
      <c r="B86" s="36" t="n">
        <v>84.3408</v>
      </c>
    </row>
    <row r="87" customFormat="false" ht="15" hidden="false" customHeight="false" outlineLevel="0" collapsed="false">
      <c r="A87" s="30" t="n">
        <v>45716</v>
      </c>
      <c r="B87" s="36" t="n">
        <v>84.4675</v>
      </c>
    </row>
    <row r="88" customFormat="false" ht="15" hidden="false" customHeight="false" outlineLevel="0" collapsed="false">
      <c r="A88" s="30" t="n">
        <v>45719</v>
      </c>
      <c r="B88" s="36" t="n">
        <v>84.7501</v>
      </c>
    </row>
    <row r="89" customFormat="false" ht="15" hidden="false" customHeight="false" outlineLevel="0" collapsed="false">
      <c r="A89" s="30" t="n">
        <v>45720</v>
      </c>
      <c r="B89" s="36" t="n">
        <v>84.8271</v>
      </c>
    </row>
    <row r="90" customFormat="false" ht="15" hidden="false" customHeight="false" outlineLevel="0" collapsed="false">
      <c r="A90" s="30" t="n">
        <v>45721</v>
      </c>
      <c r="B90" s="36" t="n">
        <v>84.6962</v>
      </c>
    </row>
    <row r="91" customFormat="false" ht="15" hidden="false" customHeight="false" outlineLevel="0" collapsed="false">
      <c r="A91" s="30" t="n">
        <v>45722</v>
      </c>
      <c r="B91" s="36" t="n">
        <v>84.7511</v>
      </c>
    </row>
    <row r="92" customFormat="false" ht="15" hidden="false" customHeight="false" outlineLevel="0" collapsed="false">
      <c r="A92" s="30" t="n">
        <v>45723</v>
      </c>
      <c r="B92" s="36" t="n">
        <v>84.7501</v>
      </c>
    </row>
    <row r="93" customFormat="false" ht="15" hidden="false" customHeight="false" outlineLevel="0" collapsed="false">
      <c r="A93" s="30" t="n">
        <v>45726</v>
      </c>
      <c r="B93" s="36" t="n">
        <v>84.7159</v>
      </c>
    </row>
    <row r="94" customFormat="false" ht="15" hidden="false" customHeight="false" outlineLevel="0" collapsed="false">
      <c r="A94" s="30" t="n">
        <v>45727</v>
      </c>
      <c r="B94" s="36" t="n">
        <v>84.5873</v>
      </c>
    </row>
    <row r="95" customFormat="false" ht="15" hidden="false" customHeight="false" outlineLevel="0" collapsed="false">
      <c r="A95" s="30" t="n">
        <v>45728</v>
      </c>
      <c r="B95" s="36" t="n">
        <v>84.6581</v>
      </c>
    </row>
    <row r="96" customFormat="false" ht="15" hidden="false" customHeight="false" outlineLevel="0" collapsed="false">
      <c r="A96" s="30" t="n">
        <v>45729</v>
      </c>
      <c r="B96" s="36" t="n">
        <v>84.7149</v>
      </c>
    </row>
    <row r="97" customFormat="false" ht="15" hidden="false" customHeight="false" outlineLevel="0" collapsed="false">
      <c r="A97" s="30" t="n">
        <v>45730</v>
      </c>
      <c r="B97" s="36" t="n">
        <v>84.7003</v>
      </c>
    </row>
    <row r="98" customFormat="false" ht="15" hidden="false" customHeight="false" outlineLevel="0" collapsed="false">
      <c r="A98" s="30" t="n">
        <v>45733</v>
      </c>
      <c r="B98" s="36" t="n">
        <v>84.6629</v>
      </c>
    </row>
    <row r="99" customFormat="false" ht="15" hidden="false" customHeight="false" outlineLevel="0" collapsed="false">
      <c r="A99" s="30" t="n">
        <v>45734</v>
      </c>
      <c r="B99" s="36" t="n">
        <v>84.4367</v>
      </c>
    </row>
    <row r="100" customFormat="false" ht="15" hidden="false" customHeight="false" outlineLevel="0" collapsed="false">
      <c r="A100" s="30" t="n">
        <v>45735</v>
      </c>
      <c r="B100" s="36" t="n">
        <v>84.3526</v>
      </c>
    </row>
    <row r="101" customFormat="false" ht="15" hidden="false" customHeight="false" outlineLevel="0" collapsed="false">
      <c r="A101" s="30" t="n">
        <v>45736</v>
      </c>
      <c r="B101" s="36" t="n">
        <v>84.5685</v>
      </c>
    </row>
    <row r="102" customFormat="false" ht="15" hidden="false" customHeight="false" outlineLevel="0" collapsed="false">
      <c r="A102" s="30" t="n">
        <v>45737</v>
      </c>
      <c r="B102" s="36" t="n">
        <v>84.5367</v>
      </c>
    </row>
    <row r="103" customFormat="false" ht="15" hidden="false" customHeight="false" outlineLevel="0" collapsed="false">
      <c r="A103" s="30" t="n">
        <v>45740</v>
      </c>
      <c r="B103" s="36" t="n">
        <v>84.2835</v>
      </c>
    </row>
    <row r="104" customFormat="false" ht="15" hidden="false" customHeight="false" outlineLevel="0" collapsed="false">
      <c r="A104" s="30" t="n">
        <v>45741</v>
      </c>
      <c r="B104" s="36" t="n">
        <v>84.522</v>
      </c>
    </row>
    <row r="105" customFormat="false" ht="15" hidden="false" customHeight="false" outlineLevel="0" collapsed="false">
      <c r="A105" s="30" t="n">
        <v>45742</v>
      </c>
      <c r="B105" s="36" t="n">
        <v>84.6182</v>
      </c>
    </row>
    <row r="106" customFormat="false" ht="15" hidden="false" customHeight="false" outlineLevel="0" collapsed="false">
      <c r="A106" s="30" t="n">
        <v>45743</v>
      </c>
      <c r="B106" s="36" t="n">
        <v>84.9956</v>
      </c>
    </row>
    <row r="107" customFormat="false" ht="15" hidden="false" customHeight="false" outlineLevel="0" collapsed="false">
      <c r="A107" s="30" t="n">
        <v>45744</v>
      </c>
      <c r="B107" s="36" t="n">
        <v>85.0088</v>
      </c>
    </row>
    <row r="108" customFormat="false" ht="15" hidden="false" customHeight="false" outlineLevel="0" collapsed="false">
      <c r="A108" s="30" t="n">
        <v>45747</v>
      </c>
      <c r="B108" s="36" t="n">
        <v>84.9284</v>
      </c>
    </row>
    <row r="109" customFormat="false" ht="15" hidden="false" customHeight="false" outlineLevel="0" collapsed="false">
      <c r="A109" s="30" t="n">
        <v>45748</v>
      </c>
      <c r="B109" s="36" t="n">
        <v>84.6726</v>
      </c>
    </row>
    <row r="110" customFormat="false" ht="15" hidden="false" customHeight="false" outlineLevel="0" collapsed="false">
      <c r="A110" s="30" t="n">
        <v>45749</v>
      </c>
      <c r="B110" s="36" t="n">
        <v>84.9103</v>
      </c>
    </row>
    <row r="111" customFormat="false" ht="15" hidden="false" customHeight="false" outlineLevel="0" collapsed="false">
      <c r="A111" s="30" t="n">
        <v>45750</v>
      </c>
      <c r="B111" s="36" t="n">
        <v>85.3718</v>
      </c>
    </row>
    <row r="112" customFormat="false" ht="15" hidden="false" customHeight="false" outlineLevel="0" collapsed="false">
      <c r="A112" s="30" t="n">
        <v>45751</v>
      </c>
      <c r="B112" s="36" t="n">
        <v>85.2267</v>
      </c>
    </row>
    <row r="113" customFormat="false" ht="15" hidden="false" customHeight="false" outlineLevel="0" collapsed="false">
      <c r="A113" s="30" t="n">
        <v>45754</v>
      </c>
      <c r="B113" s="36" t="n">
        <v>85.113</v>
      </c>
    </row>
    <row r="114" customFormat="false" ht="15" hidden="false" customHeight="false" outlineLevel="0" collapsed="false">
      <c r="A114" s="30" t="n">
        <v>45755</v>
      </c>
      <c r="B114" s="36" t="n">
        <v>85.2216</v>
      </c>
    </row>
    <row r="115" customFormat="false" ht="15" hidden="false" customHeight="false" outlineLevel="0" collapsed="false">
      <c r="A115" s="30" t="n">
        <v>45756</v>
      </c>
      <c r="B115" s="36" t="n">
        <v>85.0752</v>
      </c>
    </row>
    <row r="116" customFormat="false" ht="15" hidden="false" customHeight="false" outlineLevel="0" collapsed="false">
      <c r="A116" s="30" t="n">
        <v>45757</v>
      </c>
      <c r="B116" s="36" t="n">
        <v>85.0288</v>
      </c>
    </row>
    <row r="117" customFormat="false" ht="15" hidden="false" customHeight="false" outlineLevel="0" collapsed="false">
      <c r="A117" s="30" t="n">
        <v>45758</v>
      </c>
      <c r="B117" s="36" t="n">
        <v>84.9684</v>
      </c>
    </row>
    <row r="118" customFormat="false" ht="15" hidden="false" customHeight="false" outlineLevel="0" collapsed="false">
      <c r="A118" s="30" t="n">
        <v>45761</v>
      </c>
      <c r="B118" s="36" t="n">
        <v>85.0047</v>
      </c>
    </row>
    <row r="119" customFormat="false" ht="15" hidden="false" customHeight="false" outlineLevel="0" collapsed="false">
      <c r="A119" s="30" t="n">
        <v>45762</v>
      </c>
      <c r="B119" s="36" t="n">
        <v>85.2023</v>
      </c>
    </row>
    <row r="120" customFormat="false" ht="15" hidden="false" customHeight="false" outlineLevel="0" collapsed="false">
      <c r="A120" s="30" t="n">
        <v>45763</v>
      </c>
      <c r="B120" s="36" t="n">
        <v>85.2083</v>
      </c>
    </row>
    <row r="121" customFormat="false" ht="15" hidden="false" customHeight="false" outlineLevel="0" collapsed="false">
      <c r="A121" s="30" t="n">
        <v>45764</v>
      </c>
      <c r="B121" s="36" t="n">
        <v>85.3749</v>
      </c>
    </row>
    <row r="122" customFormat="false" ht="15" hidden="false" customHeight="false" outlineLevel="0" collapsed="false">
      <c r="A122" s="30" t="n">
        <v>45765</v>
      </c>
      <c r="B122" s="36" t="n">
        <v>85.3016</v>
      </c>
    </row>
    <row r="123" customFormat="false" ht="15" hidden="false" customHeight="false" outlineLevel="0" collapsed="false">
      <c r="A123" s="30" t="n">
        <v>45768</v>
      </c>
      <c r="B123" s="36" t="n">
        <v>85.3624</v>
      </c>
    </row>
    <row r="124" customFormat="false" ht="15" hidden="false" customHeight="false" outlineLevel="0" collapsed="false">
      <c r="A124" s="30" t="n">
        <v>45769</v>
      </c>
      <c r="B124" s="36" t="n">
        <v>84.9819</v>
      </c>
    </row>
    <row r="125" customFormat="false" ht="15" hidden="false" customHeight="false" outlineLevel="0" collapsed="false">
      <c r="A125" s="30" t="n">
        <v>45770</v>
      </c>
      <c r="B125" s="36" t="n">
        <v>84.7256</v>
      </c>
    </row>
    <row r="126" customFormat="false" ht="15" hidden="false" customHeight="false" outlineLevel="0" collapsed="false">
      <c r="A126" s="30" t="n">
        <v>45771</v>
      </c>
      <c r="B126" s="36" t="n">
        <v>84.8693</v>
      </c>
    </row>
    <row r="127" customFormat="false" ht="15" hidden="false" customHeight="false" outlineLevel="0" collapsed="false">
      <c r="A127" s="30" t="n">
        <v>45772</v>
      </c>
      <c r="B127" s="36" t="n">
        <v>84.7662</v>
      </c>
    </row>
    <row r="128" customFormat="false" ht="15" hidden="false" customHeight="false" outlineLevel="0" collapsed="false">
      <c r="A128" s="30" t="n">
        <v>45775</v>
      </c>
      <c r="B128" s="36" t="n">
        <v>84.8715</v>
      </c>
    </row>
    <row r="129" customFormat="false" ht="15" hidden="false" customHeight="false" outlineLevel="0" collapsed="false">
      <c r="A129" s="30" t="n">
        <v>45776</v>
      </c>
      <c r="B129" s="36" t="n">
        <v>84.9702</v>
      </c>
    </row>
    <row r="130" customFormat="false" ht="15" hidden="false" customHeight="false" outlineLevel="0" collapsed="false">
      <c r="A130" s="30" t="n">
        <v>45777</v>
      </c>
      <c r="B130" s="36" t="n">
        <v>85.2085</v>
      </c>
    </row>
    <row r="131" customFormat="false" ht="15" hidden="false" customHeight="false" outlineLevel="0" collapsed="false">
      <c r="A131" s="30" t="n">
        <v>45778</v>
      </c>
      <c r="B131" s="36" t="n">
        <v>85.3559</v>
      </c>
    </row>
    <row r="132" customFormat="false" ht="15" hidden="false" customHeight="false" outlineLevel="0" collapsed="false">
      <c r="A132" s="30" t="n">
        <v>45779</v>
      </c>
      <c r="B132" s="36" t="n">
        <v>85.5404</v>
      </c>
    </row>
    <row r="133" customFormat="false" ht="15" hidden="false" customHeight="false" outlineLevel="0" collapsed="false">
      <c r="A133" s="30" t="n">
        <v>45782</v>
      </c>
      <c r="B133" s="36" t="n">
        <v>85.5223</v>
      </c>
    </row>
    <row r="134" customFormat="false" ht="15" hidden="false" customHeight="false" outlineLevel="0" collapsed="false">
      <c r="A134" s="30" t="n">
        <v>45783</v>
      </c>
      <c r="B134" s="36" t="n">
        <v>85.399</v>
      </c>
    </row>
    <row r="135" customFormat="false" ht="15" hidden="false" customHeight="false" outlineLevel="0" collapsed="false">
      <c r="A135" s="30" t="n">
        <v>45784</v>
      </c>
      <c r="B135" s="36" t="n">
        <v>85.2699</v>
      </c>
    </row>
    <row r="136" customFormat="false" ht="15" hidden="false" customHeight="false" outlineLevel="0" collapsed="false">
      <c r="A136" s="30" t="n">
        <v>45785</v>
      </c>
      <c r="B136" s="36" t="n">
        <v>85.1846</v>
      </c>
    </row>
    <row r="137" customFormat="false" ht="15" hidden="false" customHeight="false" outlineLevel="0" collapsed="false">
      <c r="A137" s="30" t="n">
        <v>45786</v>
      </c>
      <c r="B137" s="36" t="n">
        <v>84.9847</v>
      </c>
    </row>
    <row r="138" customFormat="false" ht="15" hidden="false" customHeight="false" outlineLevel="0" collapsed="false">
      <c r="A138" s="30" t="n">
        <v>45789</v>
      </c>
      <c r="B138" s="36" t="n">
        <v>84.8891</v>
      </c>
    </row>
    <row r="139" customFormat="false" ht="15" hidden="false" customHeight="false" outlineLevel="0" collapsed="false">
      <c r="A139" s="30" t="n">
        <v>45790</v>
      </c>
      <c r="B139" s="36" t="n">
        <v>84.8746</v>
      </c>
    </row>
    <row r="140" customFormat="false" ht="15" hidden="false" customHeight="false" outlineLevel="0" collapsed="false">
      <c r="A140" s="30" t="n">
        <v>45791</v>
      </c>
      <c r="B140" s="36" t="n">
        <v>84.9214</v>
      </c>
    </row>
    <row r="141" customFormat="false" ht="15" hidden="false" customHeight="false" outlineLevel="0" collapsed="false">
      <c r="A141" s="30" t="n">
        <v>45792</v>
      </c>
      <c r="B141" s="36" t="n">
        <v>84.863</v>
      </c>
    </row>
    <row r="142" customFormat="false" ht="15" hidden="false" customHeight="false" outlineLevel="0" collapsed="false">
      <c r="A142" s="30" t="n">
        <v>45793</v>
      </c>
      <c r="B142" s="36" t="n">
        <v>84.5229</v>
      </c>
    </row>
    <row r="143" customFormat="false" ht="15" hidden="false" customHeight="false" outlineLevel="0" collapsed="false">
      <c r="A143" s="30" t="n">
        <v>45796</v>
      </c>
      <c r="B143" s="36" t="n">
        <v>84.512</v>
      </c>
    </row>
    <row r="144" customFormat="false" ht="15" hidden="false" customHeight="false" outlineLevel="0" collapsed="false">
      <c r="A144" s="30" t="n">
        <v>45797</v>
      </c>
      <c r="B144" s="36" t="n">
        <v>84.554</v>
      </c>
    </row>
    <row r="145" customFormat="false" ht="15" hidden="false" customHeight="false" outlineLevel="0" collapsed="false">
      <c r="A145" s="30" t="n">
        <v>45798</v>
      </c>
      <c r="B145" s="36" t="n">
        <v>84.7488</v>
      </c>
    </row>
    <row r="146" customFormat="false" ht="15" hidden="false" customHeight="false" outlineLevel="0" collapsed="false">
      <c r="A146" s="30" t="n">
        <v>45799</v>
      </c>
      <c r="B146" s="36" t="n">
        <v>84.8537</v>
      </c>
    </row>
    <row r="147" customFormat="false" ht="15" hidden="false" customHeight="false" outlineLevel="0" collapsed="false">
      <c r="A147" s="30" t="n">
        <v>45800</v>
      </c>
      <c r="B147" s="36" t="n">
        <v>84.7411</v>
      </c>
    </row>
    <row r="148" customFormat="false" ht="15" hidden="false" customHeight="false" outlineLevel="0" collapsed="false">
      <c r="A148" s="30" t="n">
        <v>45803</v>
      </c>
      <c r="B148" s="36" t="n">
        <v>84.6144</v>
      </c>
    </row>
    <row r="149" customFormat="false" ht="15" hidden="false" customHeight="false" outlineLevel="0" collapsed="false">
      <c r="A149" s="30" t="n">
        <v>45804</v>
      </c>
      <c r="B149" s="36" t="n">
        <v>84.9744</v>
      </c>
    </row>
    <row r="150" customFormat="false" ht="15" hidden="false" customHeight="false" outlineLevel="0" collapsed="false">
      <c r="A150" s="30" t="n">
        <v>45805</v>
      </c>
      <c r="B150" s="36" t="n">
        <v>85.1115</v>
      </c>
    </row>
    <row r="151" customFormat="false" ht="15" hidden="false" customHeight="false" outlineLevel="0" collapsed="false">
      <c r="A151" s="30" t="n">
        <v>45806</v>
      </c>
      <c r="B151" s="36" t="n">
        <v>85.4415</v>
      </c>
    </row>
    <row r="152" customFormat="false" ht="15" hidden="false" customHeight="false" outlineLevel="0" collapsed="false">
      <c r="A152" s="30" t="n">
        <v>45807</v>
      </c>
      <c r="B152" s="36" t="n">
        <v>85.8265</v>
      </c>
    </row>
    <row r="153" customFormat="false" ht="15" hidden="false" customHeight="false" outlineLevel="0" collapsed="false">
      <c r="A153" s="30" t="n">
        <v>45810</v>
      </c>
      <c r="B153" s="36" t="n">
        <v>85.6812</v>
      </c>
    </row>
    <row r="154" customFormat="false" ht="15" hidden="false" customHeight="false" outlineLevel="0" collapsed="false">
      <c r="A154" s="30" t="n">
        <v>45811</v>
      </c>
      <c r="B154" s="36" t="n">
        <v>85.7526</v>
      </c>
    </row>
    <row r="155" customFormat="false" ht="15" hidden="false" customHeight="false" outlineLevel="0" collapsed="false">
      <c r="A155" s="30" t="n">
        <v>45812</v>
      </c>
      <c r="B155" s="36" t="n">
        <v>85.8371</v>
      </c>
    </row>
    <row r="156" customFormat="false" ht="15" hidden="false" customHeight="false" outlineLevel="0" collapsed="false">
      <c r="A156" s="30" t="n">
        <v>45813</v>
      </c>
      <c r="B156" s="36" t="n">
        <v>85.9401</v>
      </c>
    </row>
    <row r="157" customFormat="false" ht="15" hidden="false" customHeight="false" outlineLevel="0" collapsed="false">
      <c r="A157" s="30" t="n">
        <v>45814</v>
      </c>
      <c r="B157" s="36" t="n">
        <v>86.04</v>
      </c>
    </row>
    <row r="158" customFormat="false" ht="15" hidden="false" customHeight="false" outlineLevel="0" collapsed="false">
      <c r="A158" s="30" t="n">
        <v>45817</v>
      </c>
      <c r="B158" s="36" t="n">
        <v>86.0785</v>
      </c>
    </row>
    <row r="159" customFormat="false" ht="15" hidden="false" customHeight="false" outlineLevel="0" collapsed="false">
      <c r="A159" s="30" t="n">
        <v>45818</v>
      </c>
      <c r="B159" s="36" t="n">
        <v>86.112</v>
      </c>
    </row>
    <row r="160" customFormat="false" ht="15" hidden="false" customHeight="false" outlineLevel="0" collapsed="false">
      <c r="A160" s="30" t="n">
        <v>45819</v>
      </c>
      <c r="B160" s="36" t="n">
        <v>85.8428</v>
      </c>
    </row>
    <row r="161" customFormat="false" ht="15" hidden="false" customHeight="false" outlineLevel="0" collapsed="false">
      <c r="A161" s="30" t="n">
        <v>45820</v>
      </c>
      <c r="B161" s="36" t="n">
        <v>85.815</v>
      </c>
    </row>
    <row r="162" customFormat="false" ht="15" hidden="false" customHeight="false" outlineLevel="0" collapsed="false">
      <c r="A162" s="30" t="n">
        <v>45821</v>
      </c>
      <c r="B162" s="36" t="n">
        <v>85.6824</v>
      </c>
    </row>
    <row r="163" customFormat="false" ht="15" hidden="false" customHeight="false" outlineLevel="0" collapsed="false">
      <c r="A163" s="30" t="n">
        <v>45824</v>
      </c>
      <c r="B163" s="36" t="n">
        <v>85.7071</v>
      </c>
    </row>
    <row r="164" customFormat="false" ht="15" hidden="false" customHeight="false" outlineLevel="0" collapsed="false">
      <c r="A164" s="30" t="n">
        <v>45825</v>
      </c>
      <c r="B164" s="36" t="n">
        <v>85.625</v>
      </c>
    </row>
    <row r="165" customFormat="false" ht="15" hidden="false" customHeight="false" outlineLevel="0" collapsed="false">
      <c r="A165" s="30" t="n">
        <v>45826</v>
      </c>
      <c r="B165" s="36" t="n">
        <v>85.7383</v>
      </c>
    </row>
    <row r="166" customFormat="false" ht="15" hidden="false" customHeight="false" outlineLevel="0" collapsed="false">
      <c r="A166" s="30" t="n">
        <v>45827</v>
      </c>
      <c r="B166" s="36" t="n">
        <v>85.8879</v>
      </c>
    </row>
    <row r="167" customFormat="false" ht="15" hidden="false" customHeight="false" outlineLevel="0" collapsed="false">
      <c r="A167" s="30" t="n">
        <v>45828</v>
      </c>
      <c r="B167" s="36" t="n">
        <v>85.9456</v>
      </c>
    </row>
    <row r="168" customFormat="false" ht="15" hidden="false" customHeight="false" outlineLevel="0" collapsed="false">
      <c r="A168" s="30" t="n">
        <v>45831</v>
      </c>
      <c r="B168" s="36" t="n">
        <v>86.0047</v>
      </c>
    </row>
    <row r="169" customFormat="false" ht="15" hidden="false" customHeight="false" outlineLevel="0" collapsed="false">
      <c r="A169" s="30" t="n">
        <v>45832</v>
      </c>
      <c r="B169" s="36" t="n">
        <v>86.0235</v>
      </c>
    </row>
    <row r="170" customFormat="false" ht="15" hidden="false" customHeight="false" outlineLevel="0" collapsed="false">
      <c r="A170" s="30" t="n">
        <v>45833</v>
      </c>
      <c r="B170" s="36" t="n">
        <v>85.9447</v>
      </c>
    </row>
    <row r="171" customFormat="false" ht="15" hidden="false" customHeight="false" outlineLevel="0" collapsed="false">
      <c r="A171" s="30" t="n">
        <v>45834</v>
      </c>
      <c r="B171" s="36" t="n">
        <v>85.9171</v>
      </c>
    </row>
    <row r="172" customFormat="false" ht="15" hidden="false" customHeight="false" outlineLevel="0" collapsed="false">
      <c r="A172" s="30" t="n">
        <v>45835</v>
      </c>
      <c r="B172" s="36" t="n">
        <v>85.8297</v>
      </c>
    </row>
    <row r="173" customFormat="false" ht="15" hidden="false" customHeight="false" outlineLevel="0" collapsed="false">
      <c r="A173" s="30" t="n">
        <v>45838</v>
      </c>
      <c r="B173" s="36" t="n">
        <v>85.9017</v>
      </c>
    </row>
    <row r="174" customFormat="false" ht="15" hidden="false" customHeight="false" outlineLevel="0" collapsed="false">
      <c r="A174" s="30" t="n">
        <v>45839</v>
      </c>
      <c r="B174" s="36" t="n">
        <v>85.9062</v>
      </c>
    </row>
    <row r="175" customFormat="false" ht="15" hidden="false" customHeight="false" outlineLevel="0" collapsed="false">
      <c r="A175" s="30" t="n">
        <v>45840</v>
      </c>
      <c r="B175" s="36" t="n">
        <v>86.0132</v>
      </c>
    </row>
    <row r="176" customFormat="false" ht="15" hidden="false" customHeight="false" outlineLevel="0" collapsed="false">
      <c r="A176" s="30" t="n">
        <v>45841</v>
      </c>
      <c r="B176" s="36" t="n">
        <v>85.7756</v>
      </c>
    </row>
    <row r="177" customFormat="false" ht="15" hidden="false" customHeight="false" outlineLevel="0" collapsed="false">
      <c r="A177" s="30" t="n">
        <v>45842</v>
      </c>
      <c r="B177" s="36" t="n">
        <v>85.9377</v>
      </c>
    </row>
    <row r="178" customFormat="false" ht="15" hidden="false" customHeight="false" outlineLevel="0" collapsed="false">
      <c r="A178" s="30" t="n">
        <v>45845</v>
      </c>
      <c r="B178" s="36" t="n">
        <v>85.8021</v>
      </c>
    </row>
    <row r="179" customFormat="false" ht="15" hidden="false" customHeight="false" outlineLevel="0" collapsed="false">
      <c r="A179" s="30" t="n">
        <v>45846</v>
      </c>
      <c r="B179" s="36" t="n">
        <v>85.672</v>
      </c>
    </row>
    <row r="180" customFormat="false" ht="15" hidden="false" customHeight="false" outlineLevel="0" collapsed="false">
      <c r="A180" s="30" t="n">
        <v>45847</v>
      </c>
      <c r="B180" s="36" t="n">
        <v>85.6385</v>
      </c>
    </row>
    <row r="181" customFormat="false" ht="15" hidden="false" customHeight="false" outlineLevel="0" collapsed="false">
      <c r="A181" s="30" t="n">
        <v>45848</v>
      </c>
      <c r="B181" s="36" t="n">
        <v>85.5392</v>
      </c>
    </row>
    <row r="182" customFormat="false" ht="15" hidden="false" customHeight="false" outlineLevel="0" collapsed="false">
      <c r="A182" s="30" t="n">
        <v>45849</v>
      </c>
      <c r="B182" s="36" t="n">
        <v>85.5935</v>
      </c>
    </row>
    <row r="183" customFormat="false" ht="15" hidden="false" customHeight="false" outlineLevel="0" collapsed="false">
      <c r="A183" s="30" t="n">
        <v>45852</v>
      </c>
      <c r="B183" s="36" t="n">
        <v>85.4924</v>
      </c>
    </row>
    <row r="184" customFormat="false" ht="15" hidden="false" customHeight="false" outlineLevel="0" collapsed="false">
      <c r="A184" s="30" t="n">
        <v>45853</v>
      </c>
      <c r="B184" s="36" t="n">
        <v>85.3026</v>
      </c>
    </row>
    <row r="185" customFormat="false" ht="15" hidden="false" customHeight="false" outlineLevel="0" collapsed="false">
      <c r="A185" s="30" t="n">
        <v>45854</v>
      </c>
      <c r="B185" s="36" t="n">
        <v>85.1532</v>
      </c>
    </row>
    <row r="186" customFormat="false" ht="15" hidden="false" customHeight="false" outlineLevel="0" collapsed="false">
      <c r="A186" s="30" t="n">
        <v>45855</v>
      </c>
      <c r="B186" s="36" t="n">
        <v>85.3902</v>
      </c>
    </row>
    <row r="187" customFormat="false" ht="15" hidden="false" customHeight="false" outlineLevel="0" collapsed="false">
      <c r="A187" s="30" t="n">
        <v>45856</v>
      </c>
      <c r="B187" s="36" t="n">
        <v>85.4001</v>
      </c>
    </row>
    <row r="188" customFormat="false" ht="15" hidden="false" customHeight="false" outlineLevel="0" collapsed="false">
      <c r="A188" s="30" t="n">
        <v>45859</v>
      </c>
      <c r="B188" s="36" t="n">
        <v>85.193</v>
      </c>
    </row>
    <row r="189" customFormat="false" ht="15" hidden="false" customHeight="false" outlineLevel="0" collapsed="false">
      <c r="A189" s="30" t="n">
        <v>45860</v>
      </c>
      <c r="B189" s="36" t="n">
        <v>85.1965</v>
      </c>
    </row>
    <row r="190" customFormat="false" ht="15" hidden="false" customHeight="false" outlineLevel="0" collapsed="false">
      <c r="A190" s="30" t="n">
        <v>45861</v>
      </c>
      <c r="B190" s="36" t="n">
        <v>84.9206</v>
      </c>
    </row>
    <row r="191" customFormat="false" ht="15" hidden="false" customHeight="false" outlineLevel="0" collapsed="false">
      <c r="A191" s="30" t="n">
        <v>45862</v>
      </c>
      <c r="B191" s="36" t="n">
        <v>85.2423</v>
      </c>
    </row>
    <row r="192" customFormat="false" ht="15" hidden="false" customHeight="false" outlineLevel="0" collapsed="false">
      <c r="A192" s="30" t="n">
        <v>45863</v>
      </c>
      <c r="B192" s="36" t="n">
        <v>84.9719</v>
      </c>
    </row>
    <row r="193" customFormat="false" ht="15" hidden="false" customHeight="false" outlineLevel="0" collapsed="false">
      <c r="A193" s="30" t="n">
        <v>45866</v>
      </c>
      <c r="B193" s="36" t="n">
        <v>85.0594</v>
      </c>
    </row>
    <row r="194" customFormat="false" ht="15" hidden="false" customHeight="false" outlineLevel="0" collapsed="false">
      <c r="A194" s="30" t="n">
        <v>45867</v>
      </c>
      <c r="B194" s="36" t="n">
        <v>85.1585</v>
      </c>
    </row>
    <row r="195" customFormat="false" ht="15" hidden="false" customHeight="false" outlineLevel="0" collapsed="false">
      <c r="A195" s="30" t="n">
        <v>45868</v>
      </c>
      <c r="B195" s="36" t="n">
        <v>84.9016</v>
      </c>
    </row>
    <row r="196" customFormat="false" ht="15" hidden="false" customHeight="false" outlineLevel="0" collapsed="false">
      <c r="A196" s="30" t="n">
        <v>45869</v>
      </c>
      <c r="B196" s="36" t="n">
        <v>84.9572</v>
      </c>
    </row>
    <row r="197" customFormat="false" ht="15" hidden="false" customHeight="false" outlineLevel="0" collapsed="false">
      <c r="A197" s="30" t="n">
        <v>45870</v>
      </c>
      <c r="B197" s="36" t="n">
        <v>85.1373</v>
      </c>
    </row>
    <row r="198" customFormat="false" ht="15" hidden="false" customHeight="false" outlineLevel="0" collapsed="false">
      <c r="A198" s="30" t="n">
        <v>45873</v>
      </c>
      <c r="B198" s="36" t="n">
        <v>85.2229</v>
      </c>
    </row>
    <row r="199" customFormat="false" ht="15" hidden="false" customHeight="false" outlineLevel="0" collapsed="false">
      <c r="A199" s="30" t="n">
        <v>45874</v>
      </c>
      <c r="B199" s="36" t="n">
        <v>85.2716</v>
      </c>
    </row>
    <row r="200" customFormat="false" ht="15" hidden="false" customHeight="false" outlineLevel="0" collapsed="false">
      <c r="A200" s="30" t="n">
        <v>45875</v>
      </c>
      <c r="B200" s="36" t="n">
        <v>85.4438</v>
      </c>
    </row>
    <row r="201" customFormat="false" ht="15" hidden="false" customHeight="false" outlineLevel="0" collapsed="false">
      <c r="A201" s="30" t="n">
        <v>45876</v>
      </c>
      <c r="B201" s="36" t="n">
        <v>85.4747</v>
      </c>
    </row>
    <row r="202" customFormat="false" ht="15" hidden="false" customHeight="false" outlineLevel="0" collapsed="false">
      <c r="A202" s="30" t="n">
        <v>45877</v>
      </c>
      <c r="B202" s="36" t="n">
        <v>85.5371</v>
      </c>
    </row>
    <row r="203" customFormat="false" ht="15" hidden="false" customHeight="false" outlineLevel="0" collapsed="false">
      <c r="A203" s="30" t="n">
        <v>45880</v>
      </c>
      <c r="B203" s="36" t="n">
        <v>85.5163</v>
      </c>
    </row>
    <row r="204" customFormat="false" ht="15" hidden="false" customHeight="false" outlineLevel="0" collapsed="false">
      <c r="A204" s="30" t="n">
        <v>45881</v>
      </c>
      <c r="B204" s="36" t="n">
        <v>85.6319</v>
      </c>
    </row>
    <row r="205" customFormat="false" ht="15" hidden="false" customHeight="false" outlineLevel="0" collapsed="false">
      <c r="A205" s="30" t="n">
        <v>45882</v>
      </c>
      <c r="B205" s="36" t="n">
        <v>85.4648</v>
      </c>
    </row>
    <row r="206" customFormat="false" ht="15" hidden="false" customHeight="false" outlineLevel="0" collapsed="false">
      <c r="A206" s="30" t="n">
        <v>45883</v>
      </c>
      <c r="B206" s="36" t="n">
        <v>85.609</v>
      </c>
    </row>
    <row r="207" customFormat="false" ht="15" hidden="false" customHeight="false" outlineLevel="0" collapsed="false">
      <c r="A207" s="30" t="n">
        <v>45884</v>
      </c>
      <c r="B207" s="36" t="n">
        <v>85.5202</v>
      </c>
    </row>
    <row r="208" customFormat="false" ht="15" hidden="false" customHeight="false" outlineLevel="0" collapsed="false">
      <c r="A208" s="30" t="n">
        <v>45887</v>
      </c>
      <c r="B208" s="36" t="n">
        <v>85.3266</v>
      </c>
    </row>
    <row r="209" customFormat="false" ht="15" hidden="false" customHeight="false" outlineLevel="0" collapsed="false">
      <c r="A209" s="30" t="n">
        <v>45888</v>
      </c>
      <c r="B209" s="36" t="n">
        <v>85.3941</v>
      </c>
    </row>
    <row r="210" customFormat="false" ht="15" hidden="false" customHeight="false" outlineLevel="0" collapsed="false">
      <c r="A210" s="30" t="n">
        <v>45889</v>
      </c>
      <c r="B210" s="36" t="n">
        <v>85.7002</v>
      </c>
    </row>
    <row r="211" customFormat="false" ht="15" hidden="false" customHeight="false" outlineLevel="0" collapsed="false">
      <c r="A211" s="30" t="n">
        <v>45890</v>
      </c>
      <c r="B211" s="36" t="n">
        <v>85.8755</v>
      </c>
    </row>
    <row r="212" customFormat="false" ht="15" hidden="false" customHeight="false" outlineLevel="0" collapsed="false">
      <c r="A212" s="30" t="n">
        <v>45891</v>
      </c>
      <c r="B212" s="36" t="n">
        <v>85.7846</v>
      </c>
    </row>
    <row r="213" customFormat="false" ht="15" hidden="false" customHeight="false" outlineLevel="0" collapsed="false">
      <c r="A213" s="30" t="n">
        <v>45894</v>
      </c>
      <c r="B213" s="36" t="n">
        <v>85.9125</v>
      </c>
    </row>
    <row r="214" customFormat="false" ht="15" hidden="false" customHeight="false" outlineLevel="0" collapsed="false">
      <c r="A214" s="30" t="n">
        <v>45895</v>
      </c>
      <c r="B214" s="36" t="n">
        <v>85.8326</v>
      </c>
    </row>
    <row r="215" customFormat="false" ht="15" hidden="false" customHeight="false" outlineLevel="0" collapsed="false">
      <c r="A215" s="30" t="n">
        <v>45896</v>
      </c>
      <c r="B215" s="36" t="n">
        <v>85.8122</v>
      </c>
    </row>
    <row r="216" customFormat="false" ht="15" hidden="false" customHeight="false" outlineLevel="0" collapsed="false">
      <c r="A216" s="30" t="n">
        <v>45897</v>
      </c>
      <c r="B216" s="36" t="n">
        <v>85.8304</v>
      </c>
    </row>
    <row r="217" customFormat="false" ht="15" hidden="false" customHeight="false" outlineLevel="0" collapsed="false">
      <c r="A217" s="30" t="n">
        <v>45898</v>
      </c>
      <c r="B217" s="36" t="n">
        <v>85.4158</v>
      </c>
    </row>
    <row r="218" customFormat="false" ht="15" hidden="false" customHeight="false" outlineLevel="0" collapsed="false">
      <c r="A218" s="30" t="n">
        <v>45901</v>
      </c>
      <c r="B218" s="36" t="n">
        <v>85.4522</v>
      </c>
    </row>
    <row r="219" customFormat="false" ht="15" hidden="false" customHeight="false" outlineLevel="0" collapsed="false">
      <c r="A219" s="30" t="n">
        <v>45902</v>
      </c>
      <c r="B219" s="36" t="n">
        <v>85.2696</v>
      </c>
    </row>
    <row r="220" customFormat="false" ht="15" hidden="false" customHeight="false" outlineLevel="0" collapsed="false">
      <c r="A220" s="30" t="n">
        <v>45903</v>
      </c>
      <c r="B220" s="36" t="n">
        <v>85.1468</v>
      </c>
    </row>
    <row r="221" customFormat="false" ht="15" hidden="false" customHeight="false" outlineLevel="0" collapsed="false">
      <c r="A221" s="30" t="n">
        <v>45904</v>
      </c>
      <c r="B221" s="36" t="n">
        <v>84.8856</v>
      </c>
    </row>
    <row r="222" customFormat="false" ht="15" hidden="false" customHeight="false" outlineLevel="0" collapsed="false">
      <c r="A222" s="30" t="n">
        <v>45905</v>
      </c>
      <c r="B222" s="36" t="n">
        <v>84.6177</v>
      </c>
    </row>
    <row r="223" customFormat="false" ht="15" hidden="false" customHeight="false" outlineLevel="0" collapsed="false">
      <c r="A223" s="30" t="n">
        <v>45908</v>
      </c>
      <c r="B223" s="36" t="n">
        <v>84.4522</v>
      </c>
    </row>
    <row r="224" customFormat="false" ht="15" hidden="false" customHeight="false" outlineLevel="0" collapsed="false">
      <c r="A224" s="30" t="n">
        <v>45909</v>
      </c>
      <c r="B224" s="36" t="n">
        <v>84.6007</v>
      </c>
    </row>
    <row r="225" customFormat="false" ht="15" hidden="false" customHeight="false" outlineLevel="0" collapsed="false">
      <c r="A225" s="30" t="n">
        <v>45910</v>
      </c>
      <c r="B225" s="36" t="n">
        <v>84.8993</v>
      </c>
    </row>
    <row r="226" customFormat="false" ht="15" hidden="false" customHeight="false" outlineLevel="0" collapsed="false">
      <c r="A226" s="30" t="n">
        <v>45911</v>
      </c>
      <c r="B226" s="36" t="n">
        <v>84.8968</v>
      </c>
    </row>
    <row r="227" customFormat="false" ht="15" hidden="false" customHeight="false" outlineLevel="0" collapsed="false">
      <c r="A227" s="30" t="n">
        <v>45912</v>
      </c>
      <c r="B227" s="36" t="n">
        <v>85.0936</v>
      </c>
    </row>
    <row r="228" customFormat="false" ht="15" hidden="false" customHeight="false" outlineLevel="0" collapsed="false">
      <c r="A228" s="30" t="n">
        <v>45915</v>
      </c>
      <c r="B228" s="36" t="n">
        <v>85.0485</v>
      </c>
    </row>
    <row r="229" customFormat="false" ht="15" hidden="false" customHeight="false" outlineLevel="0" collapsed="false">
      <c r="A229" s="30" t="n">
        <v>45916</v>
      </c>
      <c r="B229" s="36" t="n">
        <v>84.7097</v>
      </c>
    </row>
    <row r="230" customFormat="false" ht="15" hidden="false" customHeight="false" outlineLevel="0" collapsed="false">
      <c r="A230" s="30" t="n">
        <v>45917</v>
      </c>
      <c r="B230" s="36" t="n">
        <v>84.7383</v>
      </c>
    </row>
    <row r="231" customFormat="false" ht="15" hidden="false" customHeight="false" outlineLevel="0" collapsed="false">
      <c r="A231" s="30" t="n">
        <v>45918</v>
      </c>
      <c r="B231" s="36" t="n">
        <v>84.8197</v>
      </c>
    </row>
    <row r="232" customFormat="false" ht="15" hidden="false" customHeight="false" outlineLevel="0" collapsed="false">
      <c r="A232" s="30" t="n">
        <v>45919</v>
      </c>
      <c r="B232" s="36" t="n">
        <v>84.7454</v>
      </c>
    </row>
    <row r="233" customFormat="false" ht="15" hidden="false" customHeight="false" outlineLevel="0" collapsed="false">
      <c r="A233" s="30" t="n">
        <v>45922</v>
      </c>
      <c r="B233" s="36" t="n">
        <v>84.8012</v>
      </c>
    </row>
    <row r="234" customFormat="false" ht="15" hidden="false" customHeight="false" outlineLevel="0" collapsed="false">
      <c r="A234" s="30" t="n">
        <v>45923</v>
      </c>
      <c r="B234" s="36" t="n">
        <v>84.9052</v>
      </c>
    </row>
    <row r="235" customFormat="false" ht="15" hidden="false" customHeight="false" outlineLevel="0" collapsed="false">
      <c r="A235" s="30" t="n">
        <v>45924</v>
      </c>
      <c r="B235" s="36" t="n">
        <v>84.7534</v>
      </c>
    </row>
    <row r="236" customFormat="false" ht="15" hidden="false" customHeight="false" outlineLevel="0" collapsed="false">
      <c r="A236" s="30" t="n">
        <v>45925</v>
      </c>
      <c r="B236" s="36" t="n">
        <v>84.4929</v>
      </c>
    </row>
    <row r="237" customFormat="false" ht="15" hidden="false" customHeight="false" outlineLevel="0" collapsed="false">
      <c r="A237" s="30" t="n">
        <v>45926</v>
      </c>
      <c r="B237" s="36" t="n">
        <v>84.4557</v>
      </c>
    </row>
    <row r="238" customFormat="false" ht="15" hidden="false" customHeight="false" outlineLevel="0" collapsed="false">
      <c r="A238" s="30" t="n">
        <v>45929</v>
      </c>
      <c r="B238" s="36" t="n">
        <v>84.4202</v>
      </c>
    </row>
    <row r="239" customFormat="false" ht="15" hidden="false" customHeight="false" outlineLevel="0" collapsed="false">
      <c r="A239" s="30" t="n">
        <v>45930</v>
      </c>
      <c r="B239" s="36" t="n">
        <v>84.3597</v>
      </c>
    </row>
    <row r="240" customFormat="false" ht="15" hidden="false" customHeight="false" outlineLevel="0" collapsed="false">
      <c r="A240" s="30" t="n">
        <v>45931</v>
      </c>
      <c r="B240" s="36" t="n">
        <v>84.5368</v>
      </c>
    </row>
    <row r="241" customFormat="false" ht="15" hidden="false" customHeight="false" outlineLevel="0" collapsed="false">
      <c r="A241" s="30" t="n">
        <v>45932</v>
      </c>
      <c r="B241" s="36" t="n">
        <v>84.8457</v>
      </c>
    </row>
    <row r="242" customFormat="false" ht="15" hidden="false" customHeight="false" outlineLevel="0" collapsed="false">
      <c r="A242" s="30" t="n">
        <v>45933</v>
      </c>
      <c r="B242" s="36" t="n">
        <v>84.7735</v>
      </c>
    </row>
    <row r="243" customFormat="false" ht="15" hidden="false" customHeight="false" outlineLevel="0" collapsed="false">
      <c r="A243" s="30" t="n">
        <v>45936</v>
      </c>
      <c r="B243" s="36" t="n">
        <v>84.9</v>
      </c>
    </row>
    <row r="244" customFormat="false" ht="15" hidden="false" customHeight="false" outlineLevel="0" collapsed="false">
      <c r="A244" s="30" t="n">
        <v>45937</v>
      </c>
      <c r="B244" s="36" t="n">
        <v>85.0699</v>
      </c>
    </row>
    <row r="245" customFormat="false" ht="15" hidden="false" customHeight="false" outlineLevel="0" collapsed="false">
      <c r="A245" s="30" t="n">
        <v>45938</v>
      </c>
      <c r="B245" s="36" t="n">
        <v>85.1994</v>
      </c>
    </row>
    <row r="246" customFormat="false" ht="15" hidden="false" customHeight="false" outlineLevel="0" collapsed="false">
      <c r="A246" s="30" t="n">
        <v>45939</v>
      </c>
      <c r="B246" s="36" t="n">
        <v>85.389</v>
      </c>
    </row>
    <row r="247" customFormat="false" ht="15" hidden="false" customHeight="false" outlineLevel="0" collapsed="false">
      <c r="A247" s="30" t="n">
        <v>45940</v>
      </c>
      <c r="B247" s="36" t="n">
        <v>85.3213</v>
      </c>
    </row>
    <row r="248" customFormat="false" ht="15" hidden="false" customHeight="false" outlineLevel="0" collapsed="false">
      <c r="A248" s="30" t="n">
        <v>45943</v>
      </c>
      <c r="B248" s="36" t="n">
        <v>85.4559</v>
      </c>
    </row>
    <row r="249" customFormat="false" ht="15" hidden="false" customHeight="false" outlineLevel="0" collapsed="false">
      <c r="A249" s="30" t="n">
        <v>45944</v>
      </c>
      <c r="B249" s="36" t="n">
        <v>85.822</v>
      </c>
    </row>
    <row r="250" customFormat="false" ht="15" hidden="false" customHeight="false" outlineLevel="0" collapsed="false">
      <c r="A250" s="30" t="n">
        <v>45945</v>
      </c>
      <c r="B250" s="36" t="n">
        <v>85.969</v>
      </c>
    </row>
    <row r="251" customFormat="false" ht="15" hidden="false" customHeight="false" outlineLevel="0" collapsed="false">
      <c r="A251" s="30" t="n">
        <v>45946</v>
      </c>
      <c r="B251" s="36" t="n">
        <v>85.8592</v>
      </c>
    </row>
    <row r="252" customFormat="false" ht="15" hidden="false" customHeight="false" outlineLevel="0" collapsed="false">
      <c r="A252" s="30" t="n">
        <v>45947</v>
      </c>
      <c r="B252" s="36" t="n">
        <v>85.9709</v>
      </c>
    </row>
    <row r="253" customFormat="false" ht="15" hidden="false" customHeight="false" outlineLevel="0" collapsed="false">
      <c r="A253" s="30" t="n">
        <v>45950</v>
      </c>
      <c r="B253" s="36" t="n">
        <v>86.2011</v>
      </c>
    </row>
    <row r="254" customFormat="false" ht="15" hidden="false" customHeight="false" outlineLevel="0" collapsed="false">
      <c r="A254" s="30" t="n">
        <v>45951</v>
      </c>
      <c r="B254" s="36" t="n">
        <v>86.27</v>
      </c>
    </row>
    <row r="255" customFormat="false" ht="15" hidden="false" customHeight="false" outlineLevel="0" collapsed="false">
      <c r="A255" s="30" t="n">
        <v>45952</v>
      </c>
      <c r="B255" s="36" t="n">
        <v>86.17</v>
      </c>
    </row>
    <row r="256" customFormat="false" ht="15" hidden="false" customHeight="false" outlineLevel="0" collapsed="false">
      <c r="A256" s="30" t="n">
        <v>45953</v>
      </c>
      <c r="B256" s="36" t="n">
        <v>86.4517</v>
      </c>
    </row>
    <row r="257" customFormat="false" ht="15" hidden="false" customHeight="false" outlineLevel="0" collapsed="false">
      <c r="A257" s="30" t="n">
        <v>45954</v>
      </c>
      <c r="B257" s="36" t="n">
        <v>86.2272</v>
      </c>
    </row>
    <row r="258" customFormat="false" ht="15" hidden="false" customHeight="false" outlineLevel="0" collapsed="false">
      <c r="A258" s="30" t="n">
        <v>45957</v>
      </c>
      <c r="B258" s="36" t="n">
        <v>86.3204</v>
      </c>
    </row>
    <row r="259" customFormat="false" ht="15" hidden="false" customHeight="false" outlineLevel="0" collapsed="false">
      <c r="A259" s="30" t="n">
        <v>45958</v>
      </c>
      <c r="B259" s="36" t="n">
        <v>86.3195</v>
      </c>
    </row>
    <row r="260" customFormat="false" ht="15" hidden="false" customHeight="false" outlineLevel="0" collapsed="false">
      <c r="A260" s="30" t="n">
        <v>45959</v>
      </c>
      <c r="B260" s="36" t="n">
        <v>86.1054</v>
      </c>
    </row>
    <row r="261" customFormat="false" ht="15" hidden="false" customHeight="false" outlineLevel="0" collapsed="false">
      <c r="A261" s="30" t="n">
        <v>45960</v>
      </c>
      <c r="B261" s="36" t="n">
        <v>86.3282</v>
      </c>
    </row>
    <row r="262" customFormat="false" ht="15" hidden="false" customHeight="false" outlineLevel="0" collapsed="false">
      <c r="A262" s="30" t="n">
        <v>45961</v>
      </c>
      <c r="B262" s="36" t="n">
        <v>86.3934</v>
      </c>
    </row>
    <row r="263" customFormat="false" ht="15" hidden="false" customHeight="false" outlineLevel="0" collapsed="false">
      <c r="A263" s="30" t="n">
        <v>45964</v>
      </c>
      <c r="B263" s="36" t="n">
        <v>86.184</v>
      </c>
    </row>
    <row r="264" customFormat="false" ht="15" hidden="false" customHeight="false" outlineLevel="0" collapsed="false">
      <c r="A264" s="30" t="n">
        <v>45965</v>
      </c>
      <c r="B264" s="36" t="n">
        <v>86.295</v>
      </c>
    </row>
    <row r="265" customFormat="false" ht="15" hidden="false" customHeight="false" outlineLevel="0" collapsed="false">
      <c r="A265" s="30" t="n">
        <v>45966</v>
      </c>
      <c r="B265" s="36" t="n">
        <v>86.2188</v>
      </c>
    </row>
    <row r="266" customFormat="false" ht="15" hidden="false" customHeight="false" outlineLevel="0" collapsed="false">
      <c r="A266" s="30" t="n">
        <v>45967</v>
      </c>
      <c r="B266" s="36" t="n">
        <v>85.877</v>
      </c>
    </row>
    <row r="267" customFormat="false" ht="15" hidden="false" customHeight="false" outlineLevel="0" collapsed="false">
      <c r="A267" s="30" t="n">
        <v>45968</v>
      </c>
      <c r="B267" s="36" t="n">
        <v>85.7549</v>
      </c>
    </row>
    <row r="268" customFormat="false" ht="15" hidden="false" customHeight="false" outlineLevel="0" collapsed="false">
      <c r="A268" s="30" t="n">
        <v>45971</v>
      </c>
      <c r="B268" s="36" t="n">
        <v>85.8044</v>
      </c>
    </row>
    <row r="269" customFormat="false" ht="15" hidden="false" customHeight="false" outlineLevel="0" collapsed="false">
      <c r="A269" s="30" t="n">
        <v>45972</v>
      </c>
      <c r="B269" s="36" t="n">
        <v>85.921</v>
      </c>
    </row>
    <row r="270" customFormat="false" ht="15" hidden="false" customHeight="false" outlineLevel="0" collapsed="false">
      <c r="A270" s="30" t="n">
        <v>45973</v>
      </c>
      <c r="B270" s="36" t="n">
        <v>85.9529</v>
      </c>
    </row>
    <row r="271" customFormat="false" ht="15" hidden="false" customHeight="false" outlineLevel="0" collapsed="false">
      <c r="A271" s="30" t="n">
        <v>45974</v>
      </c>
      <c r="B271" s="36" t="n">
        <v>85.9631</v>
      </c>
    </row>
    <row r="272" customFormat="false" ht="15" hidden="false" customHeight="false" outlineLevel="0" collapsed="false">
      <c r="A272" s="30" t="n">
        <v>45975</v>
      </c>
      <c r="B272" s="36" t="n">
        <v>86.05</v>
      </c>
    </row>
    <row r="273" customFormat="false" ht="15" hidden="false" customHeight="false" outlineLevel="0" collapsed="false">
      <c r="A273" s="30" t="n">
        <v>45978</v>
      </c>
      <c r="B273" s="36" t="n">
        <v>86.0139</v>
      </c>
    </row>
    <row r="274" customFormat="false" ht="15" hidden="false" customHeight="false" outlineLevel="0" collapsed="false">
      <c r="A274" s="30" t="n">
        <v>45979</v>
      </c>
      <c r="B274" s="36" t="n">
        <v>86.2288</v>
      </c>
    </row>
    <row r="275" customFormat="false" ht="15" hidden="false" customHeight="false" outlineLevel="0" collapsed="false">
      <c r="A275" s="30" t="n">
        <v>45980</v>
      </c>
      <c r="B275" s="36" t="n">
        <v>86.2578</v>
      </c>
    </row>
    <row r="276" customFormat="false" ht="15" hidden="false" customHeight="false" outlineLevel="0" collapsed="false">
      <c r="A276" s="30" t="n">
        <v>45981</v>
      </c>
      <c r="B276" s="36" t="n">
        <v>86.313</v>
      </c>
    </row>
    <row r="277" customFormat="false" ht="15" hidden="false" customHeight="false" outlineLevel="0" collapsed="false">
      <c r="A277" s="30" t="n">
        <v>45982</v>
      </c>
      <c r="B277" s="36" t="n">
        <v>86.4132</v>
      </c>
    </row>
    <row r="278" customFormat="false" ht="15" hidden="false" customHeight="false" outlineLevel="0" collapsed="false">
      <c r="A278" s="30" t="n">
        <v>45985</v>
      </c>
      <c r="B278" s="36" t="n">
        <v>86.2236</v>
      </c>
    </row>
    <row r="279" customFormat="false" ht="15" hidden="false" customHeight="false" outlineLevel="0" collapsed="false">
      <c r="A279" s="30" t="n">
        <v>45986</v>
      </c>
      <c r="B279" s="36" t="n">
        <v>86.0973</v>
      </c>
    </row>
    <row r="280" customFormat="false" ht="15" hidden="false" customHeight="false" outlineLevel="0" collapsed="false">
      <c r="A280" s="30" t="n">
        <v>45987</v>
      </c>
      <c r="B280" s="36" t="n">
        <v>86.3761</v>
      </c>
    </row>
    <row r="281" customFormat="false" ht="15" hidden="false" customHeight="false" outlineLevel="0" collapsed="false">
      <c r="A281" s="30" t="n">
        <v>45988</v>
      </c>
      <c r="B281" s="36" t="n">
        <v>86.439</v>
      </c>
    </row>
    <row r="282" customFormat="false" ht="15" hidden="false" customHeight="false" outlineLevel="0" collapsed="false">
      <c r="A282" s="30" t="n">
        <v>45989</v>
      </c>
      <c r="B282" s="36" t="n">
        <v>86.3897</v>
      </c>
    </row>
    <row r="283" customFormat="false" ht="15" hidden="false" customHeight="false" outlineLevel="0" collapsed="false">
      <c r="A283" s="30" t="n">
        <v>45992</v>
      </c>
      <c r="B283" s="36" t="n">
        <v>86.4538</v>
      </c>
    </row>
    <row r="284" customFormat="false" ht="15" hidden="false" customHeight="false" outlineLevel="0" collapsed="false">
      <c r="A284" s="30" t="n">
        <v>45993</v>
      </c>
      <c r="B284" s="36" t="n">
        <v>86.3684</v>
      </c>
    </row>
    <row r="285" customFormat="false" ht="15" hidden="false" customHeight="false" outlineLevel="0" collapsed="false">
      <c r="A285" s="30" t="n">
        <v>45994</v>
      </c>
      <c r="B285" s="36" t="n">
        <v>86.421</v>
      </c>
    </row>
    <row r="286" customFormat="false" ht="15" hidden="false" customHeight="false" outlineLevel="0" collapsed="false">
      <c r="A286" s="30" t="n">
        <v>45995</v>
      </c>
      <c r="B286" s="36" t="n">
        <v>86.3022</v>
      </c>
    </row>
    <row r="287" customFormat="false" ht="15" hidden="false" customHeight="false" outlineLevel="0" collapsed="false">
      <c r="A287" s="30" t="n">
        <v>45996</v>
      </c>
      <c r="B287" s="36" t="n">
        <v>86.3543</v>
      </c>
    </row>
    <row r="288" customFormat="false" ht="15" hidden="false" customHeight="false" outlineLevel="0" collapsed="false">
      <c r="A288" s="30" t="n">
        <v>45999</v>
      </c>
      <c r="B288" s="36" t="n">
        <v>86.0707</v>
      </c>
    </row>
    <row r="289" customFormat="false" ht="15" hidden="false" customHeight="false" outlineLevel="0" collapsed="false">
      <c r="A289" s="30" t="n">
        <v>46000</v>
      </c>
      <c r="B289" s="36" t="n">
        <v>86.3136</v>
      </c>
    </row>
    <row r="290" customFormat="false" ht="15" hidden="false" customHeight="false" outlineLevel="0" collapsed="false">
      <c r="A290" s="30" t="n">
        <v>46001</v>
      </c>
      <c r="B290" s="36" t="n">
        <v>86.2227</v>
      </c>
    </row>
    <row r="291" customFormat="false" ht="15" hidden="false" customHeight="false" outlineLevel="0" collapsed="false">
      <c r="A291" s="30" t="n">
        <v>46002</v>
      </c>
      <c r="B291" s="36" t="n">
        <v>85.9389</v>
      </c>
    </row>
    <row r="292" customFormat="false" ht="15" hidden="false" customHeight="false" outlineLevel="0" collapsed="false">
      <c r="A292" s="30" t="n">
        <v>46003</v>
      </c>
      <c r="B292" s="36" t="n">
        <v>85.9006</v>
      </c>
    </row>
    <row r="293" customFormat="false" ht="15" hidden="false" customHeight="false" outlineLevel="0" collapsed="false">
      <c r="A293" s="30" t="n">
        <v>46006</v>
      </c>
      <c r="B293" s="36" t="n">
        <v>85.8357</v>
      </c>
    </row>
    <row r="294" customFormat="false" ht="15" hidden="false" customHeight="false" outlineLevel="0" collapsed="false">
      <c r="A294" s="30" t="n">
        <v>46007</v>
      </c>
      <c r="B294" s="36" t="n">
        <v>85.8652</v>
      </c>
    </row>
    <row r="295" customFormat="false" ht="15" hidden="false" customHeight="false" outlineLevel="0" collapsed="false">
      <c r="A295" s="30" t="n">
        <v>46008</v>
      </c>
      <c r="B295" s="36" t="n">
        <v>85.6609</v>
      </c>
    </row>
    <row r="296" customFormat="false" ht="15" hidden="false" customHeight="false" outlineLevel="0" collapsed="false">
      <c r="A296" s="30" t="n">
        <v>46009</v>
      </c>
      <c r="B296" s="36" t="n">
        <v>85.7345</v>
      </c>
    </row>
    <row r="297" customFormat="false" ht="15" hidden="false" customHeight="false" outlineLevel="0" collapsed="false">
      <c r="A297" s="30" t="n">
        <v>46010</v>
      </c>
      <c r="B297" s="36" t="n">
        <v>86.3914</v>
      </c>
    </row>
    <row r="298" customFormat="false" ht="15" hidden="false" customHeight="false" outlineLevel="0" collapsed="false">
      <c r="A298" s="30" t="n">
        <v>46013</v>
      </c>
      <c r="B298" s="36" t="n">
        <v>86.1618</v>
      </c>
    </row>
    <row r="299" customFormat="false" ht="15" hidden="false" customHeight="false" outlineLevel="0" collapsed="false">
      <c r="A299" s="30" t="n">
        <v>46014</v>
      </c>
      <c r="B299" s="36" t="n">
        <v>86.2249</v>
      </c>
    </row>
    <row r="300" customFormat="false" ht="15" hidden="false" customHeight="false" outlineLevel="0" collapsed="false">
      <c r="A300" s="30" t="n">
        <v>46015</v>
      </c>
      <c r="B300" s="36" t="n">
        <v>86.1707</v>
      </c>
    </row>
    <row r="301" customFormat="false" ht="15" hidden="false" customHeight="false" outlineLevel="0" collapsed="false">
      <c r="A301" s="30" t="n">
        <v>46016</v>
      </c>
      <c r="B301" s="36" t="n">
        <v>86.2076</v>
      </c>
    </row>
    <row r="302" customFormat="false" ht="15" hidden="false" customHeight="false" outlineLevel="0" collapsed="false">
      <c r="A302" s="30" t="n">
        <v>46017</v>
      </c>
      <c r="B302" s="36" t="n">
        <v>85.8822</v>
      </c>
    </row>
    <row r="303" customFormat="false" ht="15" hidden="false" customHeight="false" outlineLevel="0" collapsed="false">
      <c r="A303" s="30" t="n">
        <v>46020</v>
      </c>
      <c r="B303" s="36" t="n">
        <v>85.6769</v>
      </c>
    </row>
    <row r="304" customFormat="false" ht="15" hidden="false" customHeight="false" outlineLevel="0" collapsed="false">
      <c r="A304" s="30" t="n">
        <v>46021</v>
      </c>
      <c r="B304" s="36" t="n">
        <v>85.7617</v>
      </c>
    </row>
    <row r="305" customFormat="false" ht="15" hidden="false" customHeight="false" outlineLevel="0" collapsed="false">
      <c r="A305" s="30" t="n">
        <v>46022</v>
      </c>
      <c r="B305" s="36" t="n">
        <v>85.7568</v>
      </c>
    </row>
    <row r="306" customFormat="false" ht="15" hidden="false" customHeight="false" outlineLevel="0" collapsed="false">
      <c r="A306" s="30" t="n">
        <v>46023</v>
      </c>
      <c r="B306" s="36" t="n">
        <v>86.0538</v>
      </c>
    </row>
    <row r="307" customFormat="false" ht="15" hidden="false" customHeight="false" outlineLevel="0" collapsed="false">
      <c r="A307" s="30" t="n">
        <v>46024</v>
      </c>
      <c r="B307" s="36" t="n">
        <v>85.9286</v>
      </c>
    </row>
    <row r="308" customFormat="false" ht="15" hidden="false" customHeight="false" outlineLevel="0" collapsed="false">
      <c r="A308" s="30" t="n">
        <v>46027</v>
      </c>
      <c r="B308" s="36" t="n">
        <v>85.9621</v>
      </c>
    </row>
    <row r="309" customFormat="false" ht="15" hidden="false" customHeight="false" outlineLevel="0" collapsed="false">
      <c r="A309" s="30" t="n">
        <v>46028</v>
      </c>
      <c r="B309" s="36" t="n">
        <v>86.4916</v>
      </c>
    </row>
    <row r="310" customFormat="false" ht="15" hidden="false" customHeight="false" outlineLevel="0" collapsed="false">
      <c r="A310" s="30" t="n">
        <v>46029</v>
      </c>
      <c r="B310" s="36" t="n">
        <v>86.3547</v>
      </c>
    </row>
    <row r="311" customFormat="false" ht="15" hidden="false" customHeight="false" outlineLevel="0" collapsed="false">
      <c r="A311" s="30" t="n">
        <v>46030</v>
      </c>
      <c r="B311" s="36" t="n">
        <v>86.193</v>
      </c>
    </row>
    <row r="312" customFormat="false" ht="15" hidden="false" customHeight="false" outlineLevel="0" collapsed="false">
      <c r="A312" s="30" t="n">
        <v>46031</v>
      </c>
      <c r="B312" s="36" t="n">
        <v>86.1886</v>
      </c>
    </row>
    <row r="313" customFormat="false" ht="15" hidden="false" customHeight="false" outlineLevel="0" collapsed="false">
      <c r="A313" s="30" t="n">
        <v>46034</v>
      </c>
      <c r="B313" s="36" t="n">
        <v>86.1826</v>
      </c>
    </row>
    <row r="314" customFormat="false" ht="15" hidden="false" customHeight="false" outlineLevel="0" collapsed="false">
      <c r="A314" s="30" t="n">
        <v>46035</v>
      </c>
      <c r="B314" s="36" t="n">
        <v>86.3376</v>
      </c>
    </row>
    <row r="315" customFormat="false" ht="15" hidden="false" customHeight="false" outlineLevel="0" collapsed="false">
      <c r="A315" s="30" t="n">
        <v>46036</v>
      </c>
      <c r="B315" s="36" t="n">
        <v>86.3631</v>
      </c>
    </row>
    <row r="316" customFormat="false" ht="15" hidden="false" customHeight="false" outlineLevel="0" collapsed="false">
      <c r="A316" s="30" t="n">
        <v>46037</v>
      </c>
      <c r="B316" s="36" t="n">
        <v>86.228</v>
      </c>
    </row>
    <row r="317" customFormat="false" ht="15" hidden="false" customHeight="false" outlineLevel="0" collapsed="false">
      <c r="A317" s="30" t="n">
        <v>46038</v>
      </c>
      <c r="B317" s="36" t="n">
        <v>86.2683</v>
      </c>
    </row>
    <row r="318" customFormat="false" ht="15" hidden="false" customHeight="false" outlineLevel="0" collapsed="false">
      <c r="A318" s="30" t="n">
        <v>46041</v>
      </c>
      <c r="B318" s="36" t="n">
        <v>86.7497</v>
      </c>
    </row>
    <row r="319" customFormat="false" ht="15" hidden="false" customHeight="false" outlineLevel="0" collapsed="false">
      <c r="A319" s="30" t="n">
        <v>46042</v>
      </c>
      <c r="B319" s="36" t="n">
        <v>86.9837</v>
      </c>
    </row>
    <row r="320" customFormat="false" ht="15" hidden="false" customHeight="false" outlineLevel="0" collapsed="false">
      <c r="A320" s="30" t="n">
        <v>46043</v>
      </c>
      <c r="B320" s="36" t="n">
        <v>86.479</v>
      </c>
    </row>
    <row r="321" customFormat="false" ht="15" hidden="false" customHeight="false" outlineLevel="0" collapsed="false">
      <c r="A321" s="30" t="n">
        <v>46044</v>
      </c>
      <c r="B321" s="36" t="n">
        <v>86.4553</v>
      </c>
    </row>
    <row r="322" customFormat="false" ht="15" hidden="false" customHeight="false" outlineLevel="0" collapsed="false">
      <c r="A322" s="30" t="n">
        <v>46045</v>
      </c>
      <c r="B322" s="36" t="n">
        <v>86.2986</v>
      </c>
    </row>
    <row r="323" customFormat="false" ht="15" hidden="false" customHeight="false" outlineLevel="0" collapsed="false">
      <c r="A323" s="30" t="n">
        <v>46048</v>
      </c>
      <c r="B323" s="36" t="n">
        <v>86.4135</v>
      </c>
    </row>
    <row r="324" customFormat="false" ht="15" hidden="false" customHeight="false" outlineLevel="0" collapsed="false">
      <c r="A324" s="30" t="n">
        <v>46049</v>
      </c>
      <c r="B324" s="36" t="n">
        <v>86.3841</v>
      </c>
    </row>
    <row r="325" customFormat="false" ht="15" hidden="false" customHeight="false" outlineLevel="0" collapsed="false">
      <c r="A325" s="30" t="n">
        <v>46050</v>
      </c>
      <c r="B325" s="36" t="n">
        <v>86.7374</v>
      </c>
    </row>
    <row r="326" customFormat="false" ht="15" hidden="false" customHeight="false" outlineLevel="0" collapsed="false">
      <c r="A326" s="30" t="n">
        <v>46051</v>
      </c>
      <c r="B326" s="36" t="n">
        <v>86.9093</v>
      </c>
    </row>
    <row r="327" customFormat="false" ht="15" hidden="false" customHeight="false" outlineLevel="0" collapsed="false">
      <c r="A327" s="30" t="n">
        <v>46052</v>
      </c>
      <c r="B327" s="36" t="n">
        <v>87.074</v>
      </c>
    </row>
    <row r="328" customFormat="false" ht="15" hidden="false" customHeight="false" outlineLevel="0" collapsed="false">
      <c r="A328" s="30" t="n">
        <v>46055</v>
      </c>
      <c r="B328" s="36" t="n">
        <v>87.1101</v>
      </c>
    </row>
    <row r="329" customFormat="false" ht="15" hidden="false" customHeight="false" outlineLevel="0" collapsed="false">
      <c r="A329" s="30" t="n">
        <v>46056</v>
      </c>
      <c r="B329" s="36" t="n">
        <v>87.1048</v>
      </c>
    </row>
    <row r="330" customFormat="false" ht="15" hidden="false" customHeight="false" outlineLevel="0" collapsed="false">
      <c r="A330" s="30" t="n">
        <v>46057</v>
      </c>
      <c r="B330" s="36" t="n">
        <v>87.1691</v>
      </c>
    </row>
    <row r="331" customFormat="false" ht="15" hidden="false" customHeight="false" outlineLevel="0" collapsed="false">
      <c r="A331" s="30" t="n">
        <v>46058</v>
      </c>
      <c r="B331" s="36" t="n">
        <v>87.4086</v>
      </c>
    </row>
    <row r="332" customFormat="false" ht="15" hidden="false" customHeight="false" outlineLevel="0" collapsed="false">
      <c r="A332" s="30" t="n">
        <v>46059</v>
      </c>
      <c r="B332" s="36" t="n">
        <v>87.5088</v>
      </c>
    </row>
    <row r="333" customFormat="false" ht="15" hidden="false" customHeight="false" outlineLevel="0" collapsed="false">
      <c r="A333" s="30" t="n">
        <v>46062</v>
      </c>
      <c r="B333" s="36" t="n">
        <v>87.4464</v>
      </c>
    </row>
    <row r="334" customFormat="false" ht="15" hidden="false" customHeight="false" outlineLevel="0" collapsed="false">
      <c r="A334" s="30" t="n">
        <v>46063</v>
      </c>
      <c r="B334" s="36" t="n">
        <v>87.6829</v>
      </c>
    </row>
    <row r="335" customFormat="false" ht="15" hidden="false" customHeight="false" outlineLevel="0" collapsed="false">
      <c r="A335" s="30" t="n">
        <v>46064</v>
      </c>
      <c r="B335" s="36" t="n">
        <v>87.7204</v>
      </c>
    </row>
    <row r="336" customFormat="false" ht="15" hidden="false" customHeight="false" outlineLevel="0" collapsed="false">
      <c r="A336" s="30" t="n">
        <v>46065</v>
      </c>
      <c r="B336" s="36" t="n">
        <v>87.7081</v>
      </c>
    </row>
    <row r="337" customFormat="false" ht="15" hidden="false" customHeight="false" outlineLevel="0" collapsed="false">
      <c r="A337" s="30" t="n">
        <v>46066</v>
      </c>
      <c r="B337" s="36" t="n">
        <v>87.5645</v>
      </c>
    </row>
    <row r="338" customFormat="false" ht="15" hidden="false" customHeight="false" outlineLevel="0" collapsed="false">
      <c r="A338" s="30" t="n">
        <v>46069</v>
      </c>
      <c r="B338" s="36" t="n">
        <v>87.4626</v>
      </c>
    </row>
    <row r="339" customFormat="false" ht="15" hidden="false" customHeight="false" outlineLevel="0" collapsed="false">
      <c r="A339" s="30" t="n">
        <v>46070</v>
      </c>
      <c r="B339" s="36" t="n">
        <v>87.3479</v>
      </c>
    </row>
    <row r="340" customFormat="false" ht="15" hidden="false" customHeight="false" outlineLevel="0" collapsed="false">
      <c r="A340" s="30" t="n">
        <v>46071</v>
      </c>
      <c r="B340" s="36" t="n">
        <v>86.8392</v>
      </c>
    </row>
    <row r="341" customFormat="false" ht="15" hidden="false" customHeight="false" outlineLevel="0" collapsed="false">
      <c r="A341" s="30" t="n">
        <v>46072</v>
      </c>
      <c r="B341" s="36" t="n">
        <v>87.0269</v>
      </c>
    </row>
    <row r="342" customFormat="false" ht="15" hidden="false" customHeight="false" outlineLevel="0" collapsed="false">
      <c r="A342" s="30" t="n">
        <v>46073</v>
      </c>
      <c r="B342" s="36" t="n">
        <v>87.1326</v>
      </c>
    </row>
    <row r="343" customFormat="false" ht="15" hidden="false" customHeight="false" outlineLevel="0" collapsed="false">
      <c r="A343" s="30" t="n">
        <v>46076</v>
      </c>
      <c r="B343" s="36" t="n">
        <v>87.0954</v>
      </c>
    </row>
    <row r="344" customFormat="false" ht="15" hidden="false" customHeight="false" outlineLevel="0" collapsed="false">
      <c r="A344" s="30" t="n">
        <v>46077</v>
      </c>
      <c r="B344" s="36" t="n">
        <v>87.289</v>
      </c>
    </row>
    <row r="345" customFormat="false" ht="15" hidden="false" customHeight="false" outlineLevel="0" collapsed="false">
      <c r="A345" s="30" t="n">
        <v>46078</v>
      </c>
      <c r="B345" s="36" t="n">
        <v>87.3714</v>
      </c>
    </row>
    <row r="346" customFormat="false" ht="15" hidden="false" customHeight="false" outlineLevel="0" collapsed="false">
      <c r="A346" s="30" t="n">
        <v>46079</v>
      </c>
      <c r="B346" s="36" t="n">
        <v>87.4416</v>
      </c>
    </row>
    <row r="347" customFormat="false" ht="15" hidden="false" customHeight="false" outlineLevel="0" collapsed="false">
      <c r="A347" s="30" t="n">
        <v>46080</v>
      </c>
      <c r="B347" s="36" t="n">
        <v>86.9904</v>
      </c>
    </row>
    <row r="348" customFormat="false" ht="15" hidden="false" customHeight="false" outlineLevel="0" collapsed="false">
      <c r="A348" s="30" t="n">
        <v>46083</v>
      </c>
      <c r="B348" s="36" t="n">
        <v>86.9499</v>
      </c>
    </row>
    <row r="349" customFormat="false" ht="15" hidden="false" customHeight="false" outlineLevel="0" collapsed="false">
      <c r="A349" s="30" t="n">
        <v>46084</v>
      </c>
      <c r="B349" s="36" t="n">
        <v>87.0492</v>
      </c>
    </row>
    <row r="350" customFormat="false" ht="15" hidden="false" customHeight="false" outlineLevel="0" collapsed="false">
      <c r="A350" s="30" t="n">
        <v>46085</v>
      </c>
      <c r="B350" s="36" t="n">
        <v>87.346</v>
      </c>
    </row>
    <row r="351" customFormat="false" ht="15" hidden="false" customHeight="false" outlineLevel="0" collapsed="false">
      <c r="A351" s="30" t="n">
        <v>46086</v>
      </c>
      <c r="B351" s="36" t="n">
        <v>87.6863</v>
      </c>
    </row>
    <row r="352" customFormat="false" ht="15" hidden="false" customHeight="false" outlineLevel="0" collapsed="false">
      <c r="A352" s="30" t="n">
        <v>46087</v>
      </c>
      <c r="B352" s="36" t="n">
        <v>87.9513</v>
      </c>
    </row>
    <row r="353" customFormat="false" ht="15" hidden="false" customHeight="false" outlineLevel="0" collapsed="false">
      <c r="A353" s="30" t="n">
        <v>46090</v>
      </c>
      <c r="B353" s="36" t="n">
        <v>87.7391</v>
      </c>
    </row>
    <row r="354" customFormat="false" ht="15" hidden="false" customHeight="false" outlineLevel="0" collapsed="false">
      <c r="A354" s="30" t="n">
        <v>46091</v>
      </c>
      <c r="B354" s="36" t="n">
        <v>87.3371</v>
      </c>
    </row>
    <row r="355" customFormat="false" ht="15" hidden="false" customHeight="false" outlineLevel="0" collapsed="false">
      <c r="A355" s="30" t="n">
        <v>46092</v>
      </c>
      <c r="B355" s="36" t="n">
        <v>87.4439</v>
      </c>
    </row>
    <row r="356" customFormat="false" ht="15" hidden="false" customHeight="false" outlineLevel="0" collapsed="false">
      <c r="A356" s="30" t="n">
        <v>46093</v>
      </c>
      <c r="B356" s="36" t="n">
        <v>87.451</v>
      </c>
    </row>
    <row r="357" customFormat="false" ht="15" hidden="false" customHeight="false" outlineLevel="0" collapsed="false">
      <c r="A357" s="30" t="n">
        <v>46094</v>
      </c>
      <c r="B357" s="36" t="n">
        <v>87.63</v>
      </c>
    </row>
    <row r="358" customFormat="false" ht="15" hidden="false" customHeight="false" outlineLevel="0" collapsed="false">
      <c r="A358" s="30" t="n">
        <v>46097</v>
      </c>
      <c r="B358" s="36" t="n">
        <v>87.6089</v>
      </c>
    </row>
    <row r="359" customFormat="false" ht="15" hidden="false" customHeight="false" outlineLevel="0" collapsed="false">
      <c r="A359" s="30" t="n">
        <v>46098</v>
      </c>
      <c r="B359" s="36" t="n">
        <v>87.6514</v>
      </c>
    </row>
    <row r="360" customFormat="false" ht="15" hidden="false" customHeight="false" outlineLevel="0" collapsed="false">
      <c r="A360" s="30" t="n">
        <v>46099</v>
      </c>
      <c r="B360" s="36" t="n">
        <v>87.3778</v>
      </c>
    </row>
    <row r="361" customFormat="false" ht="15" hidden="false" customHeight="false" outlineLevel="0" collapsed="false">
      <c r="A361" s="30" t="n">
        <v>46100</v>
      </c>
      <c r="B361" s="36" t="n">
        <v>87.4621</v>
      </c>
    </row>
    <row r="362" customFormat="false" ht="15" hidden="false" customHeight="false" outlineLevel="0" collapsed="false">
      <c r="A362" s="30" t="n">
        <v>46101</v>
      </c>
      <c r="B362" s="36" t="n">
        <v>87.3825</v>
      </c>
    </row>
    <row r="363" customFormat="false" ht="15" hidden="false" customHeight="false" outlineLevel="0" collapsed="false">
      <c r="A363" s="30" t="n">
        <v>46104</v>
      </c>
      <c r="B363" s="36" t="n">
        <v>87.4488</v>
      </c>
    </row>
    <row r="364" customFormat="false" ht="15" hidden="false" customHeight="false" outlineLevel="0" collapsed="false">
      <c r="A364" s="30" t="n">
        <v>46105</v>
      </c>
      <c r="B364" s="36" t="n">
        <v>87.5353</v>
      </c>
    </row>
    <row r="365" customFormat="false" ht="15" hidden="false" customHeight="false" outlineLevel="0" collapsed="false">
      <c r="A365" s="30" t="n">
        <v>46106</v>
      </c>
      <c r="B365" s="36" t="n">
        <v>87.5158</v>
      </c>
    </row>
    <row r="366" customFormat="false" ht="15" hidden="false" customHeight="false" outlineLevel="0" collapsed="false">
      <c r="A366" s="30" t="n">
        <v>46107</v>
      </c>
      <c r="B366" s="36" t="n">
        <v>87.5761</v>
      </c>
    </row>
    <row r="367" customFormat="false" ht="15" hidden="false" customHeight="false" outlineLevel="0" collapsed="false">
      <c r="A367" s="30" t="n">
        <v>46108</v>
      </c>
      <c r="B367" s="36" t="n">
        <v>87.5757</v>
      </c>
    </row>
    <row r="368" customFormat="false" ht="15" hidden="false" customHeight="false" outlineLevel="0" collapsed="false">
      <c r="A368" s="30" t="n">
        <v>46111</v>
      </c>
      <c r="B368" s="36" t="n">
        <v>87.7175</v>
      </c>
    </row>
    <row r="369" customFormat="false" ht="15" hidden="false" customHeight="false" outlineLevel="0" collapsed="false">
      <c r="A369" s="30" t="n">
        <v>46112</v>
      </c>
      <c r="B369" s="36" t="n">
        <v>87.812</v>
      </c>
    </row>
    <row r="370" customFormat="false" ht="15" hidden="false" customHeight="false" outlineLevel="0" collapsed="false">
      <c r="A370" s="30" t="n">
        <v>46113</v>
      </c>
      <c r="B370" s="36" t="n">
        <v>87.7132</v>
      </c>
    </row>
    <row r="371" customFormat="false" ht="15" hidden="false" customHeight="false" outlineLevel="0" collapsed="false">
      <c r="A371" s="30" t="n">
        <v>46114</v>
      </c>
      <c r="B371" s="36" t="n">
        <v>87.6071</v>
      </c>
    </row>
    <row r="372" customFormat="false" ht="15" hidden="false" customHeight="false" outlineLevel="0" collapsed="false">
      <c r="A372" s="30" t="n">
        <v>46115</v>
      </c>
      <c r="B372" s="36" t="n">
        <v>87.9305</v>
      </c>
    </row>
    <row r="373" customFormat="false" ht="15" hidden="false" customHeight="false" outlineLevel="0" collapsed="false">
      <c r="A373" s="30" t="n">
        <v>46118</v>
      </c>
      <c r="B373" s="36" t="n">
        <v>87.9138</v>
      </c>
    </row>
    <row r="374" customFormat="false" ht="15" hidden="false" customHeight="false" outlineLevel="0" collapsed="false">
      <c r="A374" s="30" t="n">
        <v>46119</v>
      </c>
      <c r="B374" s="36" t="n">
        <v>88.0992</v>
      </c>
    </row>
    <row r="375" customFormat="false" ht="15" hidden="false" customHeight="false" outlineLevel="0" collapsed="false">
      <c r="A375" s="30" t="n">
        <v>46120</v>
      </c>
      <c r="B375" s="36" t="n">
        <v>88.1741</v>
      </c>
    </row>
    <row r="376" customFormat="false" ht="15" hidden="false" customHeight="false" outlineLevel="0" collapsed="false">
      <c r="A376" s="30" t="n">
        <v>46121</v>
      </c>
      <c r="B376" s="36" t="n">
        <v>88.0718</v>
      </c>
    </row>
    <row r="377" customFormat="false" ht="15" hidden="false" customHeight="false" outlineLevel="0" collapsed="false">
      <c r="A377" s="30" t="n">
        <v>46122</v>
      </c>
      <c r="B377" s="36" t="n">
        <v>87.9354</v>
      </c>
    </row>
    <row r="378" customFormat="false" ht="15" hidden="false" customHeight="false" outlineLevel="0" collapsed="false">
      <c r="A378" s="30" t="n">
        <v>46125</v>
      </c>
      <c r="B378" s="36" t="n">
        <v>87.9597</v>
      </c>
    </row>
    <row r="379" customFormat="false" ht="15" hidden="false" customHeight="false" outlineLevel="0" collapsed="false">
      <c r="A379" s="30" t="n">
        <v>46126</v>
      </c>
      <c r="B379" s="36" t="n">
        <v>88.0092</v>
      </c>
    </row>
    <row r="380" customFormat="false" ht="15" hidden="false" customHeight="false" outlineLevel="0" collapsed="false">
      <c r="A380" s="30" t="n">
        <v>46127</v>
      </c>
      <c r="B380" s="36" t="n">
        <v>88.1249</v>
      </c>
    </row>
    <row r="381" customFormat="false" ht="15" hidden="false" customHeight="false" outlineLevel="0" collapsed="false">
      <c r="A381" s="30" t="n">
        <v>46128</v>
      </c>
      <c r="B381" s="36" t="n">
        <v>87.8928</v>
      </c>
    </row>
    <row r="382" customFormat="false" ht="15" hidden="false" customHeight="false" outlineLevel="0" collapsed="false">
      <c r="A382" s="30" t="n">
        <v>46129</v>
      </c>
      <c r="B382" s="36" t="n">
        <v>87.7852</v>
      </c>
    </row>
    <row r="383" customFormat="false" ht="15" hidden="false" customHeight="false" outlineLevel="0" collapsed="false">
      <c r="A383" s="30" t="n">
        <v>46132</v>
      </c>
      <c r="B383" s="36" t="n">
        <v>87.7698</v>
      </c>
    </row>
    <row r="384" customFormat="false" ht="15" hidden="false" customHeight="false" outlineLevel="0" collapsed="false">
      <c r="A384" s="30" t="n">
        <v>46133</v>
      </c>
      <c r="B384" s="36" t="n">
        <v>88.0674</v>
      </c>
    </row>
    <row r="385" customFormat="false" ht="15" hidden="false" customHeight="false" outlineLevel="0" collapsed="false">
      <c r="A385" s="30" t="n">
        <v>46134</v>
      </c>
      <c r="B385" s="36" t="n">
        <v>87.634</v>
      </c>
    </row>
    <row r="386" customFormat="false" ht="15" hidden="false" customHeight="false" outlineLevel="0" collapsed="false">
      <c r="A386" s="30" t="n">
        <v>46135</v>
      </c>
      <c r="B386" s="36" t="n">
        <v>87.7169</v>
      </c>
    </row>
    <row r="387" customFormat="false" ht="15" hidden="false" customHeight="false" outlineLevel="0" collapsed="false">
      <c r="A387" s="30" t="n">
        <v>46136</v>
      </c>
      <c r="B387" s="36" t="n">
        <v>87.6196</v>
      </c>
    </row>
    <row r="388" customFormat="false" ht="15" hidden="false" customHeight="false" outlineLevel="0" collapsed="false">
      <c r="A388" s="30" t="n">
        <v>46139</v>
      </c>
      <c r="B388" s="36" t="n">
        <v>87.701</v>
      </c>
    </row>
    <row r="389" customFormat="false" ht="15" hidden="false" customHeight="false" outlineLevel="0" collapsed="false">
      <c r="A389" s="30" t="n">
        <v>46140</v>
      </c>
      <c r="B389" s="36" t="n">
        <v>87.6125</v>
      </c>
    </row>
    <row r="390" customFormat="false" ht="15" hidden="false" customHeight="false" outlineLevel="0" collapsed="false">
      <c r="A390" s="30" t="n">
        <v>46141</v>
      </c>
      <c r="B390" s="36" t="n">
        <v>87.6817</v>
      </c>
    </row>
    <row r="391" customFormat="false" ht="15" hidden="false" customHeight="false" outlineLevel="0" collapsed="false">
      <c r="A391" s="30" t="n">
        <v>46142</v>
      </c>
      <c r="B391" s="36" t="n">
        <v>87.9724</v>
      </c>
    </row>
    <row r="392" customFormat="false" ht="15" hidden="false" customHeight="false" outlineLevel="0" collapsed="false">
      <c r="A392" s="30" t="n">
        <v>46143</v>
      </c>
      <c r="B392" s="36" t="n">
        <v>88.0399</v>
      </c>
    </row>
    <row r="393" customFormat="false" ht="15" hidden="false" customHeight="false" outlineLevel="0" collapsed="false">
      <c r="A393" s="30" t="n">
        <v>46146</v>
      </c>
      <c r="B393" s="36" t="n">
        <v>88.1221</v>
      </c>
    </row>
    <row r="394" customFormat="false" ht="15" hidden="false" customHeight="false" outlineLevel="0" collapsed="false">
      <c r="A394" s="30" t="n">
        <v>46147</v>
      </c>
      <c r="B394" s="36" t="n">
        <v>88.1932</v>
      </c>
    </row>
    <row r="395" customFormat="false" ht="15" hidden="false" customHeight="false" outlineLevel="0" collapsed="false">
      <c r="A395" s="30" t="n">
        <v>46148</v>
      </c>
      <c r="B395" s="36" t="n">
        <v>88.0565</v>
      </c>
    </row>
    <row r="396" customFormat="false" ht="15" hidden="false" customHeight="false" outlineLevel="0" collapsed="false">
      <c r="A396" s="30" t="n">
        <v>46149</v>
      </c>
      <c r="B396" s="36" t="n">
        <v>88.159</v>
      </c>
    </row>
    <row r="397" customFormat="false" ht="15" hidden="false" customHeight="false" outlineLevel="0" collapsed="false">
      <c r="A397" s="30" t="n">
        <v>46150</v>
      </c>
      <c r="B397" s="36" t="n">
        <v>88.1225</v>
      </c>
    </row>
    <row r="398" customFormat="false" ht="15" hidden="false" customHeight="false" outlineLevel="0" collapsed="false">
      <c r="A398" s="30" t="n">
        <v>46153</v>
      </c>
      <c r="B398" s="36" t="n">
        <v>87.9745</v>
      </c>
    </row>
    <row r="399" customFormat="false" ht="15" hidden="false" customHeight="false" outlineLevel="0" collapsed="false">
      <c r="A399" s="30" t="n">
        <v>46154</v>
      </c>
      <c r="B399" s="36" t="n">
        <v>87.9694</v>
      </c>
    </row>
    <row r="400" customFormat="false" ht="15" hidden="false" customHeight="false" outlineLevel="0" collapsed="false">
      <c r="A400" s="30" t="n">
        <v>46155</v>
      </c>
      <c r="B400" s="36" t="n">
        <v>87.9295</v>
      </c>
    </row>
    <row r="401" customFormat="false" ht="15" hidden="false" customHeight="false" outlineLevel="0" collapsed="false">
      <c r="A401" s="30" t="n">
        <v>46156</v>
      </c>
      <c r="B401" s="36" t="n">
        <v>88.0709</v>
      </c>
    </row>
    <row r="402" customFormat="false" ht="15" hidden="false" customHeight="false" outlineLevel="0" collapsed="false">
      <c r="A402" s="30" t="n">
        <v>46157</v>
      </c>
      <c r="B402" s="36" t="n">
        <v>88.065</v>
      </c>
    </row>
    <row r="403" customFormat="false" ht="15" hidden="false" customHeight="false" outlineLevel="0" collapsed="false">
      <c r="A403" s="30" t="n">
        <v>46160</v>
      </c>
      <c r="B403" s="36" t="n">
        <v>87.9692</v>
      </c>
    </row>
    <row r="404" customFormat="false" ht="15" hidden="false" customHeight="false" outlineLevel="0" collapsed="false">
      <c r="A404" s="30" t="n">
        <v>46161</v>
      </c>
      <c r="B404" s="36" t="n">
        <v>88.2407</v>
      </c>
    </row>
    <row r="405" customFormat="false" ht="15" hidden="false" customHeight="false" outlineLevel="0" collapsed="false">
      <c r="A405" s="30" t="n">
        <v>46162</v>
      </c>
      <c r="B405" s="36" t="n">
        <v>88.4261</v>
      </c>
    </row>
    <row r="406" customFormat="false" ht="15" hidden="false" customHeight="false" outlineLevel="0" collapsed="false">
      <c r="A406" s="30" t="n">
        <v>46163</v>
      </c>
      <c r="B406" s="36" t="n">
        <v>88.6643</v>
      </c>
    </row>
    <row r="407" customFormat="false" ht="15" hidden="false" customHeight="false" outlineLevel="0" collapsed="false">
      <c r="A407" s="30" t="n">
        <v>46164</v>
      </c>
      <c r="B407" s="36" t="n">
        <v>88.7796</v>
      </c>
    </row>
    <row r="408" customFormat="false" ht="15" hidden="false" customHeight="false" outlineLevel="0" collapsed="false">
      <c r="A408" s="30" t="n">
        <v>46167</v>
      </c>
      <c r="B408" s="36" t="n">
        <v>88.7612</v>
      </c>
    </row>
    <row r="409" customFormat="false" ht="15" hidden="false" customHeight="false" outlineLevel="0" collapsed="false">
      <c r="A409" s="30" t="n">
        <v>46168</v>
      </c>
      <c r="B409" s="36" t="n">
        <v>88.6852</v>
      </c>
    </row>
    <row r="410" customFormat="false" ht="15" hidden="false" customHeight="false" outlineLevel="0" collapsed="false">
      <c r="A410" s="30" t="n">
        <v>46169</v>
      </c>
      <c r="B410" s="36" t="n">
        <v>88.6353</v>
      </c>
    </row>
    <row r="411" customFormat="false" ht="15" hidden="false" customHeight="false" outlineLevel="0" collapsed="false">
      <c r="A411" s="30" t="n">
        <v>46170</v>
      </c>
      <c r="B411" s="36" t="n">
        <v>88.814</v>
      </c>
    </row>
    <row r="412" customFormat="false" ht="15" hidden="false" customHeight="false" outlineLevel="0" collapsed="false">
      <c r="A412" s="30" t="n">
        <v>46171</v>
      </c>
      <c r="B412" s="36" t="n">
        <v>88.8369</v>
      </c>
    </row>
    <row r="413" customFormat="false" ht="15" hidden="false" customHeight="false" outlineLevel="0" collapsed="false">
      <c r="A413" s="30" t="n">
        <v>46174</v>
      </c>
      <c r="B413" s="36" t="n">
        <v>88.5628</v>
      </c>
    </row>
    <row r="414" customFormat="false" ht="15" hidden="false" customHeight="false" outlineLevel="0" collapsed="false">
      <c r="A414" s="30" t="n">
        <v>46175</v>
      </c>
      <c r="B414" s="36" t="n">
        <v>88.5576</v>
      </c>
    </row>
    <row r="415" customFormat="false" ht="15" hidden="false" customHeight="false" outlineLevel="0" collapsed="false">
      <c r="A415" s="30" t="n">
        <v>46176</v>
      </c>
      <c r="B415" s="36" t="n">
        <v>88.2968</v>
      </c>
    </row>
    <row r="416" customFormat="false" ht="15" hidden="false" customHeight="false" outlineLevel="0" collapsed="false">
      <c r="A416" s="30" t="n">
        <v>46177</v>
      </c>
      <c r="B416" s="36" t="n">
        <v>88.3296</v>
      </c>
    </row>
    <row r="417" customFormat="false" ht="15" hidden="false" customHeight="false" outlineLevel="0" collapsed="false">
      <c r="A417" s="30" t="n">
        <v>46178</v>
      </c>
      <c r="B417" s="36" t="n">
        <v>88.1087</v>
      </c>
    </row>
    <row r="418" customFormat="false" ht="15" hidden="false" customHeight="false" outlineLevel="0" collapsed="false">
      <c r="A418" s="30" t="n">
        <v>46181</v>
      </c>
      <c r="B418" s="36" t="n">
        <v>87.8772</v>
      </c>
    </row>
    <row r="419" customFormat="false" ht="15" hidden="false" customHeight="false" outlineLevel="0" collapsed="false">
      <c r="A419" s="30" t="n">
        <v>46182</v>
      </c>
      <c r="B419" s="36" t="n">
        <v>87.9011</v>
      </c>
    </row>
    <row r="420" customFormat="false" ht="15" hidden="false" customHeight="false" outlineLevel="0" collapsed="false">
      <c r="A420" s="30" t="n">
        <v>46183</v>
      </c>
      <c r="B420" s="36" t="n">
        <v>87.8888</v>
      </c>
    </row>
    <row r="421" customFormat="false" ht="15" hidden="false" customHeight="false" outlineLevel="0" collapsed="false">
      <c r="A421" s="30" t="n">
        <v>46184</v>
      </c>
      <c r="B421" s="36" t="n">
        <v>87.5847</v>
      </c>
    </row>
    <row r="422" customFormat="false" ht="15" hidden="false" customHeight="false" outlineLevel="0" collapsed="false">
      <c r="A422" s="30" t="n">
        <v>46185</v>
      </c>
      <c r="B422" s="36" t="n">
        <v>87.7244</v>
      </c>
    </row>
    <row r="423" customFormat="false" ht="15" hidden="false" customHeight="false" outlineLevel="0" collapsed="false">
      <c r="A423" s="30" t="n">
        <v>46188</v>
      </c>
      <c r="B423" s="36" t="n">
        <v>88.1259</v>
      </c>
    </row>
    <row r="424" customFormat="false" ht="15" hidden="false" customHeight="false" outlineLevel="0" collapsed="false">
      <c r="A424" s="30" t="n">
        <v>46189</v>
      </c>
      <c r="B424" s="36" t="n">
        <v>87.8543</v>
      </c>
    </row>
    <row r="425" customFormat="false" ht="15" hidden="false" customHeight="false" outlineLevel="0" collapsed="false">
      <c r="A425" s="30" t="n">
        <v>46190</v>
      </c>
      <c r="B425" s="36" t="n">
        <v>88.1927</v>
      </c>
    </row>
    <row r="426" customFormat="false" ht="15" hidden="false" customHeight="false" outlineLevel="0" collapsed="false">
      <c r="A426" s="30" t="n">
        <v>46191</v>
      </c>
      <c r="B426" s="36" t="n">
        <v>88.0675</v>
      </c>
    </row>
    <row r="427" customFormat="false" ht="15" hidden="false" customHeight="false" outlineLevel="0" collapsed="false">
      <c r="A427" s="30" t="n">
        <v>46192</v>
      </c>
      <c r="B427" s="36" t="n">
        <v>87.9783</v>
      </c>
    </row>
    <row r="428" customFormat="false" ht="15" hidden="false" customHeight="false" outlineLevel="0" collapsed="false">
      <c r="A428" s="30" t="n">
        <v>46195</v>
      </c>
      <c r="B428" s="36" t="n">
        <v>87.9473</v>
      </c>
    </row>
    <row r="429" customFormat="false" ht="15" hidden="false" customHeight="false" outlineLevel="0" collapsed="false">
      <c r="A429" s="30" t="n">
        <v>46196</v>
      </c>
      <c r="B429" s="36" t="n">
        <v>87.6828</v>
      </c>
    </row>
    <row r="430" customFormat="false" ht="15" hidden="false" customHeight="false" outlineLevel="0" collapsed="false">
      <c r="A430" s="30" t="n">
        <v>46197</v>
      </c>
      <c r="B430" s="36" t="n">
        <v>87.9244</v>
      </c>
    </row>
    <row r="431" customFormat="false" ht="15" hidden="false" customHeight="false" outlineLevel="0" collapsed="false">
      <c r="A431" s="30" t="n">
        <v>46198</v>
      </c>
      <c r="B431" s="36" t="n">
        <v>88.0175</v>
      </c>
    </row>
    <row r="432" customFormat="false" ht="15" hidden="false" customHeight="false" outlineLevel="0" collapsed="false">
      <c r="A432" s="30" t="n">
        <v>46199</v>
      </c>
      <c r="B432" s="36" t="n">
        <v>87.8808</v>
      </c>
    </row>
    <row r="433" customFormat="false" ht="15" hidden="false" customHeight="false" outlineLevel="0" collapsed="false">
      <c r="A433" s="30" t="n">
        <v>46202</v>
      </c>
      <c r="B433" s="36" t="n">
        <v>87.8318</v>
      </c>
    </row>
    <row r="434" customFormat="false" ht="15" hidden="false" customHeight="false" outlineLevel="0" collapsed="false">
      <c r="A434" s="30" t="n">
        <v>46203</v>
      </c>
      <c r="B434" s="36" t="n">
        <v>87.5546</v>
      </c>
    </row>
    <row r="435" customFormat="false" ht="15" hidden="false" customHeight="false" outlineLevel="0" collapsed="false">
      <c r="A435" s="30" t="n">
        <v>46204</v>
      </c>
      <c r="B435" s="36" t="n">
        <v>87.4927</v>
      </c>
    </row>
    <row r="436" customFormat="false" ht="15" hidden="false" customHeight="false" outlineLevel="0" collapsed="false">
      <c r="A436" s="30" t="n">
        <v>46205</v>
      </c>
      <c r="B436" s="36" t="n">
        <v>87.667</v>
      </c>
    </row>
    <row r="437" customFormat="false" ht="15" hidden="false" customHeight="false" outlineLevel="0" collapsed="false">
      <c r="A437" s="30" t="n">
        <v>46206</v>
      </c>
      <c r="B437" s="36" t="n">
        <v>87.3538</v>
      </c>
    </row>
    <row r="438" customFormat="false" ht="15" hidden="false" customHeight="false" outlineLevel="0" collapsed="false">
      <c r="A438" s="30" t="n">
        <v>46209</v>
      </c>
      <c r="B438" s="36" t="n">
        <v>87.2759</v>
      </c>
    </row>
    <row r="439" customFormat="false" ht="15" hidden="false" customHeight="false" outlineLevel="0" collapsed="false">
      <c r="A439" s="30" t="n">
        <v>46210</v>
      </c>
      <c r="B439" s="36" t="n">
        <v>87.3048</v>
      </c>
    </row>
    <row r="440" customFormat="false" ht="15" hidden="false" customHeight="false" outlineLevel="0" collapsed="false">
      <c r="A440" s="30" t="n">
        <v>46211</v>
      </c>
      <c r="B440" s="36" t="n">
        <v>87.4993</v>
      </c>
    </row>
    <row r="441" customFormat="false" ht="15" hidden="false" customHeight="false" outlineLevel="0" collapsed="false">
      <c r="A441" s="30" t="n">
        <v>46212</v>
      </c>
      <c r="B441" s="36" t="n">
        <v>87.7496</v>
      </c>
    </row>
    <row r="442" customFormat="false" ht="15" hidden="false" customHeight="false" outlineLevel="0" collapsed="false">
      <c r="A442" s="30" t="n">
        <v>46213</v>
      </c>
      <c r="B442" s="36" t="n">
        <v>87.6675</v>
      </c>
    </row>
    <row r="443" customFormat="false" ht="15" hidden="false" customHeight="false" outlineLevel="0" collapsed="false">
      <c r="A443" s="30" t="n">
        <v>46216</v>
      </c>
      <c r="B443" s="36" t="n">
        <v>87.5334</v>
      </c>
    </row>
    <row r="444" customFormat="false" ht="15" hidden="false" customHeight="false" outlineLevel="0" collapsed="false">
      <c r="A444" s="30" t="n">
        <v>46217</v>
      </c>
      <c r="B444" s="36" t="n">
        <v>87.6183</v>
      </c>
    </row>
    <row r="445" customFormat="false" ht="15" hidden="false" customHeight="false" outlineLevel="0" collapsed="false">
      <c r="A445" s="30" t="n">
        <v>46218</v>
      </c>
      <c r="B445" s="36" t="n">
        <v>87.5535</v>
      </c>
    </row>
    <row r="446" customFormat="false" ht="15" hidden="false" customHeight="false" outlineLevel="0" collapsed="false">
      <c r="A446" s="30" t="n">
        <v>46219</v>
      </c>
      <c r="B446" s="36" t="n">
        <v>87.4986</v>
      </c>
    </row>
    <row r="447" customFormat="false" ht="15" hidden="false" customHeight="false" outlineLevel="0" collapsed="false">
      <c r="A447" s="30" t="n">
        <v>46220</v>
      </c>
      <c r="B447" s="36" t="n">
        <v>87.6994</v>
      </c>
    </row>
    <row r="448" customFormat="false" ht="15" hidden="false" customHeight="false" outlineLevel="0" collapsed="false">
      <c r="A448" s="30" t="n">
        <v>46223</v>
      </c>
      <c r="B448" s="36" t="n">
        <v>88.0132</v>
      </c>
    </row>
    <row r="449" customFormat="false" ht="15" hidden="false" customHeight="false" outlineLevel="0" collapsed="false">
      <c r="A449" s="30" t="n">
        <v>46224</v>
      </c>
      <c r="B449" s="36" t="n">
        <v>88.0644</v>
      </c>
    </row>
    <row r="450" customFormat="false" ht="15" hidden="false" customHeight="false" outlineLevel="0" collapsed="false">
      <c r="A450" s="30" t="n">
        <v>46225</v>
      </c>
      <c r="B450" s="36" t="n">
        <v>88.0309</v>
      </c>
    </row>
    <row r="451" customFormat="false" ht="15" hidden="false" customHeight="false" outlineLevel="0" collapsed="false">
      <c r="A451" s="30" t="n">
        <v>46226</v>
      </c>
      <c r="B451" s="36" t="n">
        <v>88.1387</v>
      </c>
    </row>
    <row r="452" customFormat="false" ht="15" hidden="false" customHeight="false" outlineLevel="0" collapsed="false">
      <c r="A452" s="30" t="n">
        <v>46227</v>
      </c>
      <c r="B452" s="36" t="n">
        <v>87.7921</v>
      </c>
    </row>
    <row r="453" customFormat="false" ht="15" hidden="false" customHeight="false" outlineLevel="0" collapsed="false">
      <c r="A453" s="30" t="n">
        <v>46230</v>
      </c>
      <c r="B453" s="36" t="n">
        <v>87.7908</v>
      </c>
    </row>
    <row r="454" customFormat="false" ht="15" hidden="false" customHeight="false" outlineLevel="0" collapsed="false">
      <c r="A454" s="30" t="n">
        <v>46231</v>
      </c>
      <c r="B454" s="36" t="n">
        <v>87.5975</v>
      </c>
    </row>
    <row r="455" customFormat="false" ht="15" hidden="false" customHeight="false" outlineLevel="0" collapsed="false">
      <c r="A455" s="30" t="n">
        <v>46232</v>
      </c>
      <c r="B455" s="36" t="n">
        <v>88.0403</v>
      </c>
    </row>
    <row r="456" customFormat="false" ht="15" hidden="false" customHeight="false" outlineLevel="0" collapsed="false">
      <c r="A456" s="30" t="n">
        <v>46233</v>
      </c>
      <c r="B456" s="36" t="n">
        <v>88.1756</v>
      </c>
    </row>
    <row r="457" customFormat="false" ht="15" hidden="false" customHeight="false" outlineLevel="0" collapsed="false">
      <c r="A457" s="30" t="n">
        <v>46234</v>
      </c>
      <c r="B457" s="36" t="n">
        <v>88.2038</v>
      </c>
    </row>
    <row r="458" customFormat="false" ht="15" hidden="false" customHeight="false" outlineLevel="0" collapsed="false">
      <c r="A458" s="30" t="n">
        <v>46237</v>
      </c>
      <c r="B458" s="36" t="n">
        <v>88.1699</v>
      </c>
    </row>
    <row r="459" customFormat="false" ht="15" hidden="false" customHeight="false" outlineLevel="0" collapsed="false">
      <c r="A459" s="30" t="n">
        <v>46238</v>
      </c>
      <c r="B459" s="36" t="n">
        <v>87.7076</v>
      </c>
    </row>
    <row r="460" customFormat="false" ht="15" hidden="false" customHeight="false" outlineLevel="0" collapsed="false">
      <c r="A460" s="30" t="n">
        <v>46239</v>
      </c>
      <c r="B460" s="36" t="n">
        <v>87.841</v>
      </c>
    </row>
    <row r="461" customFormat="false" ht="15" hidden="false" customHeight="false" outlineLevel="0" collapsed="false">
      <c r="A461" s="30" t="n">
        <v>46240</v>
      </c>
      <c r="B461" s="36" t="n">
        <v>88.1442</v>
      </c>
    </row>
    <row r="462" customFormat="false" ht="15" hidden="false" customHeight="false" outlineLevel="0" collapsed="false">
      <c r="A462" s="30" t="n">
        <v>46241</v>
      </c>
      <c r="B462" s="36" t="n">
        <v>88.0114</v>
      </c>
    </row>
    <row r="463" customFormat="false" ht="15" hidden="false" customHeight="false" outlineLevel="0" collapsed="false">
      <c r="A463" s="30" t="n">
        <v>46244</v>
      </c>
      <c r="B463" s="36" t="n">
        <v>88.1399</v>
      </c>
    </row>
    <row r="464" customFormat="false" ht="15" hidden="false" customHeight="false" outlineLevel="0" collapsed="false">
      <c r="A464" s="30" t="n">
        <v>46245</v>
      </c>
      <c r="B464" s="36" t="n">
        <v>88.2758</v>
      </c>
    </row>
    <row r="465" customFormat="false" ht="15" hidden="false" customHeight="false" outlineLevel="0" collapsed="false">
      <c r="A465" s="30" t="n">
        <v>46246</v>
      </c>
      <c r="B465" s="36" t="n">
        <v>87.9914</v>
      </c>
    </row>
    <row r="466" customFormat="false" ht="15" hidden="false" customHeight="false" outlineLevel="0" collapsed="false">
      <c r="A466" s="30" t="n">
        <v>46247</v>
      </c>
      <c r="B466" s="36" t="n">
        <v>88.1665</v>
      </c>
    </row>
    <row r="467" customFormat="false" ht="15" hidden="false" customHeight="false" outlineLevel="0" collapsed="false">
      <c r="A467" s="30" t="n">
        <v>46248</v>
      </c>
      <c r="B467" s="36" t="n">
        <v>88.4198</v>
      </c>
    </row>
    <row r="468" customFormat="false" ht="15" hidden="false" customHeight="false" outlineLevel="0" collapsed="false">
      <c r="A468" s="30" t="n">
        <v>46251</v>
      </c>
      <c r="B468" s="36" t="n">
        <v>88.4643</v>
      </c>
    </row>
    <row r="469" customFormat="false" ht="15" hidden="false" customHeight="false" outlineLevel="0" collapsed="false">
      <c r="A469" s="30" t="n">
        <v>46252</v>
      </c>
      <c r="B469" s="36" t="n">
        <v>88.4547</v>
      </c>
    </row>
    <row r="470" customFormat="false" ht="15" hidden="false" customHeight="false" outlineLevel="0" collapsed="false">
      <c r="A470" s="30" t="n">
        <v>46253</v>
      </c>
      <c r="B470" s="36" t="n">
        <v>88.6033</v>
      </c>
    </row>
    <row r="471" customFormat="false" ht="15" hidden="false" customHeight="false" outlineLevel="0" collapsed="false">
      <c r="A471" s="30" t="n">
        <v>46254</v>
      </c>
      <c r="B471" s="36" t="n">
        <v>88.3191</v>
      </c>
    </row>
    <row r="472" customFormat="false" ht="15" hidden="false" customHeight="false" outlineLevel="0" collapsed="false">
      <c r="A472" s="30" t="n">
        <v>46255</v>
      </c>
      <c r="B472" s="36" t="n">
        <v>88.3385</v>
      </c>
    </row>
    <row r="473" customFormat="false" ht="15" hidden="false" customHeight="false" outlineLevel="0" collapsed="false">
      <c r="A473" s="30" t="n">
        <v>46258</v>
      </c>
      <c r="B473" s="36" t="n">
        <v>88.5364</v>
      </c>
    </row>
    <row r="474" customFormat="false" ht="15" hidden="false" customHeight="false" outlineLevel="0" collapsed="false">
      <c r="A474" s="30" t="n">
        <v>46259</v>
      </c>
      <c r="B474" s="36" t="n">
        <v>88.3078</v>
      </c>
    </row>
    <row r="475" customFormat="false" ht="15" hidden="false" customHeight="false" outlineLevel="0" collapsed="false">
      <c r="A475" s="30" t="n">
        <v>46260</v>
      </c>
      <c r="B475" s="36" t="n">
        <v>88.4941</v>
      </c>
    </row>
    <row r="476" customFormat="false" ht="15" hidden="false" customHeight="false" outlineLevel="0" collapsed="false">
      <c r="A476" s="30" t="n">
        <v>46261</v>
      </c>
      <c r="B476" s="36" t="n">
        <v>88.4185</v>
      </c>
    </row>
    <row r="477" customFormat="false" ht="15" hidden="false" customHeight="false" outlineLevel="0" collapsed="false">
      <c r="A477" s="30" t="n">
        <v>46262</v>
      </c>
      <c r="B477" s="36" t="n">
        <v>88.0351</v>
      </c>
    </row>
    <row r="478" customFormat="false" ht="15" hidden="false" customHeight="false" outlineLevel="0" collapsed="false">
      <c r="A478" s="30" t="n">
        <v>46265</v>
      </c>
      <c r="B478" s="36" t="n">
        <v>88.0176</v>
      </c>
    </row>
    <row r="479" customFormat="false" ht="15" hidden="false" customHeight="false" outlineLevel="0" collapsed="false">
      <c r="A479" s="30" t="n">
        <v>46266</v>
      </c>
      <c r="B479" s="36" t="n">
        <v>87.8402</v>
      </c>
    </row>
    <row r="480" customFormat="false" ht="15" hidden="false" customHeight="false" outlineLevel="0" collapsed="false">
      <c r="A480" s="30" t="n">
        <v>46267</v>
      </c>
      <c r="B480" s="36" t="n">
        <v>87.9012</v>
      </c>
    </row>
    <row r="481" customFormat="false" ht="15" hidden="false" customHeight="false" outlineLevel="0" collapsed="false">
      <c r="A481" s="30" t="n">
        <v>46268</v>
      </c>
      <c r="B481" s="36" t="n">
        <v>87.6871</v>
      </c>
    </row>
    <row r="482" customFormat="false" ht="15" hidden="false" customHeight="false" outlineLevel="0" collapsed="false">
      <c r="A482" s="30" t="n">
        <v>46269</v>
      </c>
      <c r="B482" s="36" t="n">
        <v>87.8828</v>
      </c>
    </row>
    <row r="483" customFormat="false" ht="15" hidden="false" customHeight="false" outlineLevel="0" collapsed="false">
      <c r="A483" s="30" t="n">
        <v>46272</v>
      </c>
      <c r="B483" s="36" t="n">
        <v>87.7486</v>
      </c>
    </row>
    <row r="484" customFormat="false" ht="15" hidden="false" customHeight="false" outlineLevel="0" collapsed="false">
      <c r="A484" s="30" t="n">
        <v>46273</v>
      </c>
      <c r="B484" s="36" t="n">
        <v>87.8164</v>
      </c>
    </row>
    <row r="485" customFormat="false" ht="15" hidden="false" customHeight="false" outlineLevel="0" collapsed="false">
      <c r="A485" s="30" t="n">
        <v>46274</v>
      </c>
      <c r="B485" s="36" t="n">
        <v>87.709</v>
      </c>
    </row>
    <row r="486" customFormat="false" ht="15" hidden="false" customHeight="false" outlineLevel="0" collapsed="false">
      <c r="A486" s="30" t="n">
        <v>46275</v>
      </c>
      <c r="B486" s="36" t="n">
        <v>87.6516</v>
      </c>
    </row>
    <row r="487" customFormat="false" ht="15" hidden="false" customHeight="false" outlineLevel="0" collapsed="false">
      <c r="A487" s="30" t="n">
        <v>46276</v>
      </c>
      <c r="B487" s="36" t="n">
        <v>87.8733</v>
      </c>
    </row>
    <row r="488" customFormat="false" ht="15" hidden="false" customHeight="false" outlineLevel="0" collapsed="false">
      <c r="A488" s="30" t="n">
        <v>46279</v>
      </c>
      <c r="B488" s="36" t="n">
        <v>87.9151</v>
      </c>
    </row>
    <row r="489" customFormat="false" ht="15" hidden="false" customHeight="false" outlineLevel="0" collapsed="false">
      <c r="A489" s="30" t="n">
        <v>46280</v>
      </c>
      <c r="B489" s="36" t="n">
        <v>87.8443</v>
      </c>
    </row>
    <row r="490" customFormat="false" ht="15" hidden="false" customHeight="false" outlineLevel="0" collapsed="false">
      <c r="A490" s="30" t="n">
        <v>46281</v>
      </c>
      <c r="B490" s="36" t="n">
        <v>87.6158</v>
      </c>
    </row>
    <row r="491" customFormat="false" ht="15" hidden="false" customHeight="false" outlineLevel="0" collapsed="false">
      <c r="A491" s="30" t="n">
        <v>46282</v>
      </c>
      <c r="B491" s="36" t="n">
        <v>87.8315</v>
      </c>
    </row>
    <row r="492" customFormat="false" ht="15" hidden="false" customHeight="false" outlineLevel="0" collapsed="false">
      <c r="A492" s="30" t="n">
        <v>46283</v>
      </c>
      <c r="B492" s="36" t="n">
        <v>87.9689</v>
      </c>
    </row>
    <row r="493" customFormat="false" ht="15" hidden="false" customHeight="false" outlineLevel="0" collapsed="false">
      <c r="A493" s="30" t="n">
        <v>46286</v>
      </c>
      <c r="B493" s="36" t="n">
        <v>87.9106</v>
      </c>
    </row>
    <row r="494" customFormat="false" ht="15" hidden="false" customHeight="false" outlineLevel="0" collapsed="false">
      <c r="A494" s="30" t="n">
        <v>46287</v>
      </c>
      <c r="B494" s="36" t="n">
        <v>87.9576</v>
      </c>
    </row>
    <row r="495" customFormat="false" ht="15" hidden="false" customHeight="false" outlineLevel="0" collapsed="false">
      <c r="A495" s="30" t="n">
        <v>46288</v>
      </c>
      <c r="B495" s="36" t="n">
        <v>87.7697</v>
      </c>
    </row>
    <row r="496" customFormat="false" ht="15" hidden="false" customHeight="false" outlineLevel="0" collapsed="false">
      <c r="A496" s="30" t="n">
        <v>46289</v>
      </c>
      <c r="B496" s="36" t="n">
        <v>87.5849</v>
      </c>
    </row>
    <row r="497" customFormat="false" ht="15" hidden="false" customHeight="false" outlineLevel="0" collapsed="false">
      <c r="A497" s="30" t="n">
        <v>46290</v>
      </c>
      <c r="B497" s="36" t="n">
        <v>87.4352</v>
      </c>
    </row>
    <row r="498" customFormat="false" ht="15" hidden="false" customHeight="false" outlineLevel="0" collapsed="false">
      <c r="A498" s="30" t="n">
        <v>46293</v>
      </c>
      <c r="B498" s="36" t="n">
        <v>87.5021</v>
      </c>
    </row>
    <row r="499" customFormat="false" ht="15" hidden="false" customHeight="false" outlineLevel="0" collapsed="false">
      <c r="A499" s="30" t="n">
        <v>46294</v>
      </c>
      <c r="B499" s="36" t="n">
        <v>87.5586</v>
      </c>
    </row>
    <row r="500" customFormat="false" ht="15" hidden="false" customHeight="false" outlineLevel="0" collapsed="false">
      <c r="A500" s="30" t="n">
        <v>46295</v>
      </c>
      <c r="B500" s="36" t="n">
        <v>87.4237</v>
      </c>
    </row>
    <row r="501" customFormat="false" ht="15" hidden="false" customHeight="false" outlineLevel="0" collapsed="false">
      <c r="A501" s="30" t="n">
        <v>46296</v>
      </c>
      <c r="B501" s="36" t="n">
        <v>87.5613</v>
      </c>
    </row>
    <row r="502" customFormat="false" ht="15" hidden="false" customHeight="false" outlineLevel="0" collapsed="false">
      <c r="A502" s="30" t="n">
        <v>46297</v>
      </c>
      <c r="B502" s="36" t="n">
        <v>87.7078</v>
      </c>
    </row>
    <row r="503" customFormat="false" ht="15" hidden="false" customHeight="false" outlineLevel="0" collapsed="false">
      <c r="A503" s="30" t="n">
        <v>46300</v>
      </c>
      <c r="B503" s="36" t="n">
        <v>87.7417</v>
      </c>
    </row>
    <row r="504" customFormat="false" ht="15" hidden="false" customHeight="false" outlineLevel="0" collapsed="false">
      <c r="A504" s="30" t="n">
        <v>46301</v>
      </c>
      <c r="B504" s="36" t="n">
        <v>87.9353</v>
      </c>
    </row>
    <row r="505" customFormat="false" ht="15" hidden="false" customHeight="false" outlineLevel="0" collapsed="false">
      <c r="A505" s="30" t="n">
        <v>46302</v>
      </c>
      <c r="B505" s="36" t="n">
        <v>87.8844</v>
      </c>
    </row>
    <row r="506" customFormat="false" ht="15" hidden="false" customHeight="false" outlineLevel="0" collapsed="false">
      <c r="A506" s="30" t="n">
        <v>46303</v>
      </c>
      <c r="B506" s="36" t="n">
        <v>87.8656</v>
      </c>
    </row>
    <row r="507" customFormat="false" ht="15" hidden="false" customHeight="false" outlineLevel="0" collapsed="false">
      <c r="A507" s="30" t="n">
        <v>46304</v>
      </c>
      <c r="B507" s="36" t="n">
        <v>87.9549</v>
      </c>
    </row>
    <row r="508" customFormat="false" ht="15" hidden="false" customHeight="false" outlineLevel="0" collapsed="false">
      <c r="A508" s="30" t="n">
        <v>46307</v>
      </c>
      <c r="B508" s="36" t="n">
        <v>87.9507</v>
      </c>
    </row>
    <row r="509" customFormat="false" ht="15" hidden="false" customHeight="false" outlineLevel="0" collapsed="false">
      <c r="A509" s="30" t="n">
        <v>46308</v>
      </c>
      <c r="B509" s="36" t="n">
        <v>88.0995</v>
      </c>
    </row>
    <row r="510" customFormat="false" ht="15" hidden="false" customHeight="false" outlineLevel="0" collapsed="false">
      <c r="A510" s="30" t="n">
        <v>46309</v>
      </c>
      <c r="B510" s="36" t="n">
        <v>87.8702</v>
      </c>
    </row>
    <row r="511" customFormat="false" ht="15" hidden="false" customHeight="false" outlineLevel="0" collapsed="false">
      <c r="A511" s="30" t="n">
        <v>46310</v>
      </c>
      <c r="B511" s="36" t="n">
        <v>88.1357</v>
      </c>
    </row>
    <row r="512" customFormat="false" ht="15" hidden="false" customHeight="false" outlineLevel="0" collapsed="false">
      <c r="A512" s="30" t="n">
        <v>46311</v>
      </c>
      <c r="B512" s="36" t="n">
        <v>87.9933</v>
      </c>
    </row>
    <row r="513" customFormat="false" ht="15" hidden="false" customHeight="false" outlineLevel="0" collapsed="false">
      <c r="A513" s="30" t="n">
        <v>46314</v>
      </c>
      <c r="B513" s="36" t="n">
        <v>87.965</v>
      </c>
    </row>
    <row r="514" customFormat="false" ht="15" hidden="false" customHeight="false" outlineLevel="0" collapsed="false">
      <c r="A514" s="30" t="n">
        <v>46315</v>
      </c>
      <c r="B514" s="36" t="n">
        <v>87.7129</v>
      </c>
    </row>
    <row r="515" customFormat="false" ht="15" hidden="false" customHeight="false" outlineLevel="0" collapsed="false">
      <c r="A515" s="30" t="n">
        <v>46316</v>
      </c>
      <c r="B515" s="36" t="n">
        <v>87.8256</v>
      </c>
    </row>
    <row r="516" customFormat="false" ht="15" hidden="false" customHeight="false" outlineLevel="0" collapsed="false">
      <c r="A516" s="30" t="n">
        <v>46317</v>
      </c>
      <c r="B516" s="36" t="n">
        <v>88.0629</v>
      </c>
    </row>
    <row r="517" customFormat="false" ht="15" hidden="false" customHeight="false" outlineLevel="0" collapsed="false">
      <c r="A517" s="30" t="n">
        <v>46318</v>
      </c>
      <c r="B517" s="36" t="n">
        <v>88.2633</v>
      </c>
    </row>
    <row r="518" customFormat="false" ht="15" hidden="false" customHeight="false" outlineLevel="0" collapsed="false">
      <c r="A518" s="30" t="n">
        <v>46321</v>
      </c>
      <c r="B518" s="36" t="n">
        <v>88.42</v>
      </c>
    </row>
  </sheetData>
  <autoFilter ref="A1:B5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8"/>
    <col collapsed="false" customWidth="true" hidden="false" outlineLevel="0" max="3" min="3" style="0" width="10"/>
    <col collapsed="false" customWidth="true" hidden="false" outlineLevel="0" max="4" min="4" style="0" width="9"/>
    <col collapsed="false" customWidth="true" hidden="false" outlineLevel="0" max="5" min="5" style="0" width="16"/>
    <col collapsed="false" customWidth="true" hidden="false" outlineLevel="0" max="7" min="6" style="0" width="9"/>
    <col collapsed="false" customWidth="true" hidden="false" outlineLevel="0" max="8" min="8" style="0" width="34"/>
  </cols>
  <sheetData>
    <row r="1" customFormat="false" ht="23.85" hidden="false" customHeight="false" outlineLevel="0" collapsed="false">
      <c r="A1" s="4" t="s">
        <v>74</v>
      </c>
      <c r="B1" s="4" t="s">
        <v>231</v>
      </c>
      <c r="C1" s="4" t="s">
        <v>559</v>
      </c>
      <c r="D1" s="4" t="s">
        <v>232</v>
      </c>
      <c r="E1" s="4" t="s">
        <v>560</v>
      </c>
      <c r="F1" s="4" t="s">
        <v>561</v>
      </c>
      <c r="G1" s="4" t="s">
        <v>562</v>
      </c>
      <c r="H1" s="4" t="s">
        <v>135</v>
      </c>
    </row>
    <row r="2" customFormat="false" ht="15" hidden="false" customHeight="false" outlineLevel="0" collapsed="false">
      <c r="A2" s="11" t="s">
        <v>239</v>
      </c>
      <c r="B2" s="11" t="s">
        <v>240</v>
      </c>
      <c r="C2" s="11" t="s">
        <v>563</v>
      </c>
      <c r="D2" s="11" t="s">
        <v>212</v>
      </c>
      <c r="E2" s="14" t="n">
        <v>7320</v>
      </c>
      <c r="F2" s="11" t="s">
        <v>564</v>
      </c>
      <c r="G2" s="11"/>
      <c r="H2" s="11" t="s">
        <v>565</v>
      </c>
    </row>
    <row r="3" customFormat="false" ht="15" hidden="false" customHeight="false" outlineLevel="0" collapsed="false">
      <c r="A3" s="11" t="s">
        <v>242</v>
      </c>
      <c r="B3" s="11" t="s">
        <v>243</v>
      </c>
      <c r="C3" s="11" t="s">
        <v>563</v>
      </c>
      <c r="D3" s="11" t="s">
        <v>212</v>
      </c>
      <c r="E3" s="14" t="n">
        <v>8140</v>
      </c>
      <c r="F3" s="11" t="s">
        <v>564</v>
      </c>
      <c r="G3" s="11"/>
      <c r="H3" s="11" t="s">
        <v>566</v>
      </c>
    </row>
    <row r="4" customFormat="false" ht="15" hidden="false" customHeight="false" outlineLevel="0" collapsed="false">
      <c r="A4" s="11" t="s">
        <v>244</v>
      </c>
      <c r="B4" s="11" t="s">
        <v>245</v>
      </c>
      <c r="C4" s="11" t="s">
        <v>563</v>
      </c>
      <c r="D4" s="11" t="s">
        <v>212</v>
      </c>
      <c r="E4" s="14" t="n">
        <v>4840</v>
      </c>
      <c r="F4" s="11" t="s">
        <v>564</v>
      </c>
      <c r="G4" s="11" t="s">
        <v>567</v>
      </c>
      <c r="H4" s="11" t="s">
        <v>565</v>
      </c>
    </row>
    <row r="5" customFormat="false" ht="15" hidden="false" customHeight="false" outlineLevel="0" collapsed="false">
      <c r="A5" s="11" t="s">
        <v>247</v>
      </c>
      <c r="B5" s="11" t="s">
        <v>248</v>
      </c>
      <c r="C5" s="11" t="s">
        <v>563</v>
      </c>
      <c r="D5" s="11" t="s">
        <v>249</v>
      </c>
      <c r="E5" s="14" t="n">
        <v>55220</v>
      </c>
      <c r="F5" s="11" t="s">
        <v>568</v>
      </c>
      <c r="G5" s="11"/>
      <c r="H5" s="11" t="s">
        <v>565</v>
      </c>
    </row>
    <row r="6" customFormat="false" ht="15" hidden="false" customHeight="false" outlineLevel="0" collapsed="false">
      <c r="A6" s="11" t="s">
        <v>251</v>
      </c>
      <c r="B6" s="11" t="s">
        <v>252</v>
      </c>
      <c r="C6" s="11" t="s">
        <v>569</v>
      </c>
      <c r="D6" s="11" t="s">
        <v>249</v>
      </c>
      <c r="E6" s="14" t="n">
        <v>40710</v>
      </c>
      <c r="F6" s="11" t="s">
        <v>570</v>
      </c>
      <c r="G6" s="11"/>
      <c r="H6" s="11" t="s">
        <v>565</v>
      </c>
    </row>
    <row r="7" customFormat="false" ht="15" hidden="false" customHeight="false" outlineLevel="0" collapsed="false">
      <c r="A7" s="11" t="s">
        <v>253</v>
      </c>
      <c r="B7" s="11" t="s">
        <v>254</v>
      </c>
      <c r="C7" s="11" t="s">
        <v>563</v>
      </c>
      <c r="D7" s="11" t="s">
        <v>212</v>
      </c>
      <c r="E7" s="14" t="n">
        <v>4370</v>
      </c>
      <c r="F7" s="11" t="s">
        <v>564</v>
      </c>
      <c r="G7" s="11"/>
      <c r="H7" s="11" t="s">
        <v>565</v>
      </c>
    </row>
    <row r="8" customFormat="false" ht="15" hidden="false" customHeight="false" outlineLevel="0" collapsed="false">
      <c r="A8" s="11" t="s">
        <v>255</v>
      </c>
      <c r="B8" s="11" t="s">
        <v>256</v>
      </c>
      <c r="C8" s="11" t="s">
        <v>563</v>
      </c>
      <c r="D8" s="11" t="s">
        <v>212</v>
      </c>
      <c r="E8" s="14" t="n">
        <v>3660</v>
      </c>
      <c r="F8" s="11" t="s">
        <v>571</v>
      </c>
      <c r="G8" s="11"/>
      <c r="H8" s="11" t="s">
        <v>565</v>
      </c>
    </row>
    <row r="9" customFormat="false" ht="15" hidden="false" customHeight="false" outlineLevel="0" collapsed="false">
      <c r="A9" s="11" t="s">
        <v>257</v>
      </c>
      <c r="B9" s="11" t="s">
        <v>258</v>
      </c>
      <c r="C9" s="11" t="s">
        <v>563</v>
      </c>
      <c r="D9" s="11" t="s">
        <v>212</v>
      </c>
      <c r="E9" s="14" t="n">
        <v>8730</v>
      </c>
      <c r="F9" s="11" t="s">
        <v>564</v>
      </c>
      <c r="G9" s="11"/>
      <c r="H9" s="11" t="s">
        <v>565</v>
      </c>
    </row>
    <row r="10" customFormat="false" ht="15" hidden="false" customHeight="false" outlineLevel="0" collapsed="false">
      <c r="A10" s="11" t="s">
        <v>259</v>
      </c>
      <c r="B10" s="11" t="s">
        <v>260</v>
      </c>
      <c r="C10" s="11" t="s">
        <v>563</v>
      </c>
      <c r="D10" s="11" t="s">
        <v>212</v>
      </c>
      <c r="E10" s="14" t="n">
        <v>3070</v>
      </c>
      <c r="F10" s="11" t="s">
        <v>572</v>
      </c>
      <c r="G10" s="11"/>
      <c r="H10" s="11" t="s">
        <v>565</v>
      </c>
    </row>
    <row r="11" customFormat="false" ht="15" hidden="false" customHeight="false" outlineLevel="0" collapsed="false">
      <c r="A11" s="11" t="s">
        <v>261</v>
      </c>
      <c r="B11" s="11" t="s">
        <v>262</v>
      </c>
      <c r="C11" s="11" t="s">
        <v>563</v>
      </c>
      <c r="D11" s="11" t="s">
        <v>212</v>
      </c>
      <c r="E11" s="14" t="n">
        <v>6140</v>
      </c>
      <c r="F11" s="11" t="s">
        <v>573</v>
      </c>
      <c r="G11" s="11"/>
      <c r="H11" s="11" t="s">
        <v>565</v>
      </c>
    </row>
    <row r="12" customFormat="false" ht="15" hidden="false" customHeight="false" outlineLevel="0" collapsed="false">
      <c r="A12" s="11" t="s">
        <v>263</v>
      </c>
      <c r="B12" s="11" t="s">
        <v>264</v>
      </c>
      <c r="C12" s="11" t="s">
        <v>563</v>
      </c>
      <c r="D12" s="11" t="s">
        <v>212</v>
      </c>
      <c r="E12" s="14" t="n">
        <v>17110</v>
      </c>
      <c r="F12" s="11" t="s">
        <v>574</v>
      </c>
      <c r="G12" s="11"/>
      <c r="H12" s="11" t="s">
        <v>575</v>
      </c>
    </row>
    <row r="13" customFormat="false" ht="15" hidden="false" customHeight="false" outlineLevel="0" collapsed="false">
      <c r="A13" s="11" t="s">
        <v>265</v>
      </c>
      <c r="B13" s="11" t="s">
        <v>266</v>
      </c>
      <c r="C13" s="11" t="s">
        <v>576</v>
      </c>
      <c r="D13" s="11" t="s">
        <v>212</v>
      </c>
      <c r="E13" s="14" t="n">
        <v>6370</v>
      </c>
      <c r="F13" s="11" t="s">
        <v>564</v>
      </c>
      <c r="G13" s="11"/>
      <c r="H13" s="11" t="s">
        <v>565</v>
      </c>
    </row>
    <row r="14" customFormat="false" ht="15" hidden="false" customHeight="false" outlineLevel="0" collapsed="false">
      <c r="A14" s="11" t="s">
        <v>267</v>
      </c>
      <c r="B14" s="11" t="s">
        <v>268</v>
      </c>
      <c r="C14" s="11" t="s">
        <v>563</v>
      </c>
      <c r="D14" s="11" t="s">
        <v>212</v>
      </c>
      <c r="E14" s="14" t="n">
        <v>3420</v>
      </c>
      <c r="F14" s="11" t="s">
        <v>567</v>
      </c>
      <c r="G14" s="11"/>
      <c r="H14" s="11" t="s">
        <v>565</v>
      </c>
    </row>
  </sheetData>
  <autoFilter ref="A1:H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2026-10-12T19:10:48Z</dcterms:created>
  <dc:creator>openpyxl</dc:creator>
  <dc:description/>
  <dc:language>en-US</dc:language>
  <cp:lastModifiedBy/>
  <dcterms:modified xsi:type="dcterms:W3CDTF">2026-10-12T19:10:48Z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